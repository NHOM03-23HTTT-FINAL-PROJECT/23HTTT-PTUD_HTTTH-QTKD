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ổng quan" sheetId="1" r:id="rId4"/>
    <sheet state="visible" name="Product Backlog" sheetId="2" r:id="rId5"/>
    <sheet state="visible" name="Sprint Backlog" sheetId="3" r:id="rId6"/>
    <sheet state="visible" name="Sprint plan 01 - tuần 1" sheetId="4" r:id="rId7"/>
  </sheets>
  <definedNames/>
  <calcPr/>
  <extLst>
    <ext uri="GoogleSheetsCustomDataVersion2">
      <go:sheetsCustomData xmlns:go="http://customooxmlschemas.google.com/" r:id="rId8" roundtripDataChecksum="W1KjHHZ86U1lWM9ewwZ+hf3PadYNl5RZOc1+tEyP9EI="/>
    </ext>
  </extLst>
</workbook>
</file>

<file path=xl/sharedStrings.xml><?xml version="1.0" encoding="utf-8"?>
<sst xmlns="http://schemas.openxmlformats.org/spreadsheetml/2006/main" count="2439" uniqueCount="1116">
  <si>
    <t>TỔNG QUAN 3 SPRINT</t>
  </si>
  <si>
    <t>Tuần</t>
  </si>
  <si>
    <t>Ngày</t>
  </si>
  <si>
    <t>Nhóm công việc</t>
  </si>
  <si>
    <t>Công việc</t>
  </si>
  <si>
    <t>Người phụ trách</t>
  </si>
  <si>
    <t>Mức độ hoàn thành công việc</t>
  </si>
  <si>
    <t>Note công việc</t>
  </si>
  <si>
    <t xml:space="preserve">Đề tài Quản trị kinh doanh · 7 thành viên · mỗi sprint 2 tuần · Sprint 1 bắt đầu 25/10/2026 · tuần 1 của Sprint 1 </t>
  </si>
  <si>
    <t>1. LỊCH SPRINT VÀ KẾT QUẢ CẦN ĐẠT</t>
  </si>
  <si>
    <t>Sprint</t>
  </si>
  <si>
    <t>25/10 - 27/10</t>
  </si>
  <si>
    <t>Bắt đầu</t>
  </si>
  <si>
    <t>Kết thúc</t>
  </si>
  <si>
    <t>Mục tiêu sprint</t>
  </si>
  <si>
    <t>Đạt được cuối sprint (MVP chạy được: DB → BE → FE)</t>
  </si>
  <si>
    <t>Số US</t>
  </si>
  <si>
    <t>Số task</t>
  </si>
  <si>
    <t>User Story
Acceptance 
Criteria</t>
  </si>
  <si>
    <t>Giờ ước tính</t>
  </si>
  <si>
    <t>Sprint 01</t>
  </si>
  <si>
    <t>quản lý khách hàng</t>
  </si>
  <si>
    <t>5 – 6</t>
  </si>
  <si>
    <t>25/10/2026</t>
  </si>
  <si>
    <t>07/11/2026</t>
  </si>
  <si>
    <t>Hiếu</t>
  </si>
  <si>
    <t>Khởi tạo hồ sơ &amp; phê duyệt hợp đồng: hoàn thiện US/AC, đặc tả hệ thống, UI, ERD, khung dự án; code nền tảng (đăng nhập, phân quyền, audit log, danh mục) + Khách hàng + Khu vực + Hợp đồng nháp + Workflow engine cấu hình được.</t>
  </si>
  <si>
    <t>MVP1 (demo 7/11): tạo user 6 phòng ban → cấu hình quy trình HĐ (TP KD → Pháp chế → BGĐ) → tạo khách hàng, khu vực 3 cấp → tạo HĐ nháp kèm file → trình duyệt → Pháp chế yêu cầu sửa → sửa, trình lại → BGĐ duyệt → HĐ Approved. Xem được tiến độ, lịch sử duyệt, audit log; người không được giao không duyệt được; bấm Submit 2 lần chỉ tạo 1 lượt duyệt.</t>
  </si>
  <si>
    <t>quản lý bảng giá</t>
  </si>
  <si>
    <t>Xuân</t>
  </si>
  <si>
    <t>ghi nhận sản lượng</t>
  </si>
  <si>
    <t>Minh</t>
  </si>
  <si>
    <t>lập/quản lý thanh toán</t>
  </si>
  <si>
    <t>Đan Anh</t>
  </si>
  <si>
    <t>quản lí khu vực</t>
  </si>
  <si>
    <t>Tuấn</t>
  </si>
  <si>
    <t>thực hiện phê duyệt, ký điện tử</t>
  </si>
  <si>
    <t>Lộc</t>
  </si>
  <si>
    <t>quản lí hợp đồng</t>
  </si>
  <si>
    <t>Phong</t>
  </si>
  <si>
    <t>27/10 - 29/10</t>
  </si>
  <si>
    <t>Viết đặc tả hệ thống</t>
  </si>
  <si>
    <t>US-CUS-01 Tạo hồ sơ khách hàng
US-CUS-02 Cập nhật thông tin khách hàng
US-CUS-04 Tạm ngưng giao dịch với khách hàng
US-CUS-05 Kích hoạt lại khách hàng để tiếp tục giao dịch
US-CUS-06 Tìm khách hàng phục vụ công việc Kinh doanh
US-CUS-07 Xem thông tin và hồ sơ khách hàng để chuẩn bị giao dịch</t>
  </si>
  <si>
    <t>SPRINT BACKLOG</t>
  </si>
  <si>
    <t>US-ARE-01 Tạo hồ sơ khu vực khai thác
US-ARE-02 Thiết lập cấu trúc phân cấp mặt bằng cảng
US-ARE-04 Cập nhật thông tin và quy chuẩn kỹ thuật khu vực
US-ARE-12 Tra cứu danh sách và tìm kiếm khu vực khai thác
US-ARE-13 Xem hồ sơ chi tiết và thông tin liên kết của khu vực</t>
  </si>
  <si>
    <t>US-CTR-01 Tạo hồ sơ hợp đồng
US-CTR-02 Xem danh sách và thông tin hợp đồng theo quyền hạn
US-CTR-03 Trình duyệt hợp đồng
US-CTR-16 Chỉnh sửa hồ sơ hợp đồng (Sprint 1 chỉ làm phần hợp đồng; phần phụ lục làm ở Sprint 2)
US-CTR-18 Hủy hồ sơ dự thảo</t>
  </si>
  <si>
    <t>US-CTR-04 Rà soát hợp đồng ở cấp Trưởng phòng Kinh doanh
US-CTR-05 Rà soát pháp lý hợp đồng
US-CTR-06 Phê duyệt hợp đồng ở cấp Ban Giám đốc</t>
  </si>
  <si>
    <t>PRODUCT BACKLOG</t>
  </si>
  <si>
    <t>2 phần này liên quan đến nhau nên cần hỗ trợ nhau làm</t>
  </si>
  <si>
    <t>Sprint 02</t>
  </si>
  <si>
    <t>Các đầu việc nhóm cam kết thực hiện trong Sprint 
Cập nhật tiến độ hằng ngày</t>
  </si>
  <si>
    <t>7 – 8</t>
  </si>
  <si>
    <t>08/11/2026</t>
  </si>
  <si>
    <t>US-APR-01 Trình hồ sơ theo quy trình phê duyệt
US-APR-02 Xem xét và chấp thuận bước duyệt được giao
US-APR-03 Yêu cầu chỉnh sửa hồ sơ đang duyệt
US-APR-04 Từ chối hồ sơ được giao xem xét
US-APR-05 Hoàn tất phê duyệt và chuyển nghiệp vụ kế tiếp
US-APR-10 Cấu hình quy trình phê duyệt theo loại hồ sơ</t>
  </si>
  <si>
    <t>21/11/2026</t>
  </si>
  <si>
    <t>Bảng giá &amp; sản lượng có hiệu lực: phụ lục HĐ, rút/hủy hồ sơ, chuyển người duyệt, thông báo (Outbox), job theo ngày, báo giá → bảng giá có phiên bản, vận hành khu vực, người liên hệ, ghi nhận &amp; khóa kỳ sản lượng.</t>
  </si>
  <si>
    <t>Các UC chung: đăng nhập, xác thực, đăng xuất</t>
  </si>
  <si>
    <t>MVP2 (demo 21/11): HĐ tự Active khi đến ngày → phụ lục được duyệt → báo giá, KH xác nhận → bảng giá duyệt 2 cấp → Effective; tạo phiên bản mới thì bản cũ Superseded, chồng thời gian bị chặn → phân công NV Khai thác → ghi nhận, điều chỉnh, khóa kỳ sản lượng. Có thông báo ở từng bước. Có đủ đầu vào (bảng giá Effective + sản lượng đã khóa) để lập thanh toán.</t>
  </si>
  <si>
    <t>US-APR-06 Theo dõi tiến độ phê duyệt hồ sơ
US-APR-09 Tra cứu lịch sử xử lý phê duyệt</t>
  </si>
  <si>
    <t>Danh sách yêu cầu của sản phẩm</t>
  </si>
  <si>
    <t>29/10 - 31/10</t>
  </si>
  <si>
    <t>Mã việc</t>
  </si>
  <si>
    <t>Vẽ UI</t>
  </si>
  <si>
    <t>full use case</t>
  </si>
  <si>
    <t>Xây khung dự án</t>
  </si>
  <si>
    <t>khung dự án .NET + supabase + github</t>
  </si>
  <si>
    <t>Sprint 03</t>
  </si>
  <si>
    <t>Mã</t>
  </si>
  <si>
    <t>9 – 10</t>
  </si>
  <si>
    <t>ERD</t>
  </si>
  <si>
    <t>22/11/2026</t>
  </si>
  <si>
    <t>05/12/2026</t>
  </si>
  <si>
    <t>Thanh toán, ký điện tử &amp; hoàn thiện: bảng thanh toán đủ vòng đời, ký điện tử mô phỏng bất đồng bộ, ký HĐ/phụ lục, chấm dứt/gia hạn HĐ, mở khóa kỳ, import Excel khu vực, các màn tra cứu, AI Agent, test E2E &amp; deploy.</t>
  </si>
  <si>
    <t>Bản hoàn chỉnh (demo 5/12): sản lượng đã khóa → lập bảng thanh toán → tính tiền (lưu đơn giá lúc tính) → đối soát → duyệt → gửi ký → callback → Signed → Issued; ký thất bại/hủy → ký lại; bảng điều chỉnh; mở khóa kỳ; chấm dứt, gia hạn HĐ. Chạy trọn 8 bước nghiệp vụ mục 3 của đề, đủ 126/126 user story, test mục 5.5 pass.</t>
  </si>
  <si>
    <t>Vẽ ERD</t>
  </si>
  <si>
    <t>Liên kết PB</t>
  </si>
  <si>
    <t>31/10 - 2/11</t>
  </si>
  <si>
    <t>FE</t>
  </si>
  <si>
    <t>Công việc cần làm</t>
  </si>
  <si>
    <t>Người thực hiện</t>
  </si>
  <si>
    <t>Nhóm chức năng</t>
  </si>
  <si>
    <t>Ước tính (giờ)</t>
  </si>
  <si>
    <t>Đã làm (giờ)</t>
  </si>
  <si>
    <t>Mô tả User Story</t>
  </si>
  <si>
    <t>Còn lại (giờ)</t>
  </si>
  <si>
    <t>Trạng thái</t>
  </si>
  <si>
    <t>Kết quả mong đợi / Điều kiện nghiệm thu</t>
  </si>
  <si>
    <t>Vướng mắc / Ghi chú</t>
  </si>
  <si>
    <t>Ưu tiên</t>
  </si>
  <si>
    <t>TASK-001</t>
  </si>
  <si>
    <t>Độ lớn (SP)</t>
  </si>
  <si>
    <t>PB-01</t>
  </si>
  <si>
    <t>[QL] Sprint Planning S1, chốt Definition of Done, quy ước nhánh &amp; Pull Request</t>
  </si>
  <si>
    <t>Sprint dự kiến</t>
  </si>
  <si>
    <t>Tổng</t>
  </si>
  <si>
    <t>Ghi chú</t>
  </si>
  <si>
    <t>Nền tảng kỹ thuật</t>
  </si>
  <si>
    <t>2. PHÂN CÔNG CHÍNH THEO SPRINT</t>
  </si>
  <si>
    <t>Là nhóm phát triển, chúng tôi cần ERD, UI Figma toàn hệ thống, khung dự án .NET Web API + PostgreSQL (Supabase) + Front-end và repo có CI để mọi module phát triển trên cùng một nền.</t>
  </si>
  <si>
    <t>Thành viên</t>
  </si>
  <si>
    <t>Module spec</t>
  </si>
  <si>
    <t>ERD và UI Figma đủ màn hình các module; repo GitHub có nhánh main/develop, Pull Request bắt buộc review; CI build + test chạy xanh; kết nối Supabase; Swagger hiển thị toàn bộ API; FE có layout, menu theo quyền, component dùng chung.</t>
  </si>
  <si>
    <t>Sprint 02 / Sprint 03</t>
  </si>
  <si>
    <t>Giờ S1</t>
  </si>
  <si>
    <t>Giờ S2</t>
  </si>
  <si>
    <t>Giờ S3</t>
  </si>
  <si>
    <t>Leader · Bảng giá</t>
  </si>
  <si>
    <t>Hoàn tất</t>
  </si>
  <si>
    <t>Cao</t>
  </si>
  <si>
    <t>27/10–29/10 (tuần 5)</t>
  </si>
  <si>
    <t>UC chung, UI toàn hệ thống, dựng FE theo UI, review &amp; ghép nối với từng bạn</t>
  </si>
  <si>
    <t>TASK-002</t>
  </si>
  <si>
    <t>S2: báo giá, cập nhật UI · S3: AI Agent, deploy, nghiệm thu cùng từng bạn</t>
  </si>
  <si>
    <t>PB-02</t>
  </si>
  <si>
    <t>Sẵn sàng</t>
  </si>
  <si>
    <t>[Spec] Đặc tả hệ thống UC chung: đăng nhập, xác thực, đăng xuất</t>
  </si>
  <si>
    <t>Hạng mục nền tảng (Đề mục 6); Phụ trách: Lộc (khung BE, repo), Đan Anh (ERD, khung FE), Xuân (UI Figma)</t>
  </si>
  <si>
    <t>Tài khoản &amp; phân quyền</t>
  </si>
  <si>
    <t>Khách hàng</t>
  </si>
  <si>
    <t>Là người dùng, tôi muốn đăng nhập và chỉ thấy/thao tác được chức năng đúng vai trò, phòng ban của mình.</t>
  </si>
  <si>
    <t>Đặc tả + code khách hàng: tạo/sửa/tìm/xem, tạm ngưng/kích hoạt</t>
  </si>
  <si>
    <t>TASK-003</t>
  </si>
  <si>
    <t>S2: người liên hệ, đổi MST, hiệu lực &amp; phiên bản bảng giá · S3: tra cứu, điều chỉnh/hủy bảng thanh toán, kết thúc hiệu lực bảng giá</t>
  </si>
  <si>
    <t>Đăng nhập JWT, đăng xuất, sai thông tin báo lỗi rõ; QTHT tạo người dùng, gán phòng ban (Kinh doanh, Khai thác, Kế toán, Pháp chế, BGĐ, QTHT) và vai trò; API trả 403 khi thiếu quyền; menu ẩn theo quyền.</t>
  </si>
  <si>
    <t>[Design] Vẽ UI Figma toàn hệ thống: design system, layout, màn hình các module</t>
  </si>
  <si>
    <t>Chưa bắt đầu</t>
  </si>
  <si>
    <t>29/10–31/10 (tuần 5)</t>
  </si>
  <si>
    <t>Hạng mục nền tảng (Đề mục 2); Phụ trách: Minh</t>
  </si>
  <si>
    <t>Sản lượng</t>
  </si>
  <si>
    <t>Đặc tả CTR-04..06; đăng nhập/phân quyền/audit log; rà soát &amp; duyệt HĐ 3 cấp</t>
  </si>
  <si>
    <t>TASK-004</t>
  </si>
  <si>
    <t>PB-03</t>
  </si>
  <si>
    <t>S2: ghi nhận, điều chỉnh, khóa kỳ, tra cứu sản lượng · S3: mở khóa kỳ, duyệt &amp; phát hành bảng thanh toán, chốt sản lượng khi chấm dứt HĐ</t>
  </si>
  <si>
    <t>Nhật ký &amp; truy vết</t>
  </si>
  <si>
    <t>PB-32</t>
  </si>
  <si>
    <t>[QL] Code review PR, Sprint Review &amp; Retro S1</t>
  </si>
  <si>
    <t>Là người quản lý, tôi muốn mọi thay đổi quan trọng được tự động ghi vết.</t>
  </si>
  <si>
    <t>Mỗi thao tác ghi: ai, thời điểm, hành động, trạng thái trước/sau, ghi chú; audit_log chỉ thêm, không sửa/xóa; lưu snapshot JSON, không phụ thuộc dữ liệu hiển thị hiện tại.</t>
  </si>
  <si>
    <t>Thanh toán</t>
  </si>
  <si>
    <t>2/11–7/11 (tuần 6)</t>
  </si>
  <si>
    <t>Đặc tả APR-06, 09; ERD; khung FE + component; danh mục; tiến độ duyệt</t>
  </si>
  <si>
    <t>S2: bảng giá nháp/duyệt, Notification · S3: lập, tính tiền, đối soát bảng thanh toán</t>
  </si>
  <si>
    <t>TASK-005</t>
  </si>
  <si>
    <t>Hạng mục nền tảng (Đề mục 4.10); Phụ trách: Minh</t>
  </si>
  <si>
    <t>PB-04</t>
  </si>
  <si>
    <t>[Cùng Minh] Review đăng nhập JWT / phân quyền theo đặc tả UC chung</t>
  </si>
  <si>
    <t>Danh mục dùng chung</t>
  </si>
  <si>
    <t>Là QTHT, tôi muốn khai báo danh mục dịch vụ, nhóm dịch vụ, đơn vị tính, thuế suất.</t>
  </si>
  <si>
    <t>CRUD danh mục; danh mục đã được dùng chỉ ngưng, không xóa; seed sẵn dịch vụ mẫu (bốc dỡ, lưu bãi container, vận chuyển, lưu kho) với đơn vị container/tấn/chuyến/ngày.</t>
  </si>
  <si>
    <t>31/10–2/11 (tuần 5)</t>
  </si>
  <si>
    <t>TASK-006</t>
  </si>
  <si>
    <t>Khu vực</t>
  </si>
  <si>
    <t>[Cùng Lộc] Review khung dự án + mô hình workflow engine</t>
  </si>
  <si>
    <t>Đặc tả + code khu vực 3 cấp; test plan, test case, kịch bản demo</t>
  </si>
  <si>
    <t>S2: vận hành khu vực, regression · S3: import Excel, tra cứu theo KV, gia hạn HĐ, test E2E</t>
  </si>
  <si>
    <t>TASK-007</t>
  </si>
  <si>
    <t>Hạng mục nền tảng (Đề mục 4.4, 4.5); Phụ trách: Đan Anh</t>
  </si>
  <si>
    <t>PB-18 – PB-20</t>
  </si>
  <si>
    <t>PB-05</t>
  </si>
  <si>
    <t>[Cùng Phong] Ghép HĐ ↔ workflow engine (submit → callback trạng thái)</t>
  </si>
  <si>
    <t>Là một Nhân viên Kinh doanh, tôi muốn tạo hồ sơ khách hàng đầy đủ và không trùng với hồ sơ đã có để sử dụng đúng thông tin khi lập hợp đồng và thực hiện các nghiệp vụ liên quan.</t>
  </si>
  <si>
    <t>• Chỉ nhân viên được giao quyền tạo khách hàng mới được thực hiện thao tác.
• Nhân viên nhập được tên khách hàng, mã số thuế, địa chỉ, người đại diện và thông tin liên hệ. Tên, mã số thuế, địa chỉ và người đại diện là thông tin…
• Khi đã có khách hàng phù hợp, hệ thống không tạo thêm hồ sơ và cho phép người có quyền mở hồ sơ hiện có. Nếu khách hàng đang Suspended thì việc hợp…
(+5 AC khác trong file user story)</t>
  </si>
  <si>
    <t>US-CUS-01 – Tạo hồ sơ khách hàng
Phụ trách: Hiếu</t>
  </si>
  <si>
    <t>PB-06</t>
  </si>
  <si>
    <t>Là một Nhân viên Kinh doanh, tôi muốn cập nhật thông tin khách hàng thuộc phạm vi được giao để hồ sơ phản ánh đúng thông tin hiện tại và truy vết được các thay đổi.</t>
  </si>
  <si>
    <t>• Chỉ người được giao quyền cập nhật và có quyền trên khách hàng được chọn mới được lưu thay đổi.
• Trước khi sửa, nhân viên xem được mã khách hàng, mã số thuế và thông tin hiện tại để xác định đúng hồ sơ.
• Nhân viên có thể cập nhật tên, địa chỉ, người đại diện và thông tin liên hệ. Mã khách hàng không được thay đổi. Thay đổi mã số thuế được xử lý theo…
(+5 AC khác trong file user story)</t>
  </si>
  <si>
    <t>Phê duyệt, ký điện tử</t>
  </si>
  <si>
    <t>US-CUS-02 – Cập nhật thông tin khách hàng
Phụ trách: Hiếu</t>
  </si>
  <si>
    <t>PB-07</t>
  </si>
  <si>
    <t>Đặc tả APR; khung dự án .NET + Supabase + GitHub; workflow engine</t>
  </si>
  <si>
    <t>Là một Nhân viên Kinh doanh, tôi muốn tìm khách hàng theo mã, tên, mã số thuế và trạng thái để xác định đúng khách hàng trước khi làm việc.</t>
  </si>
  <si>
    <t>TASK-008</t>
  </si>
  <si>
    <t>• Nhân viên chỉ nhận được kết quả khách hàng trong phạm vi được phép tiếp cận.
• Có thể tìm theo mã khách hàng, tên hoặc mã số thuế và lọc Active, Suspended hoặc cả hai trạng thái.
• Kết quả hiển thị mã khách hàng, tên, mã số thuế và trạng thái để phân biệt các khách hàng có tên tương tự.
(+3 AC khác trong file user story)</t>
  </si>
  <si>
    <t>PB-05 – PB-08</t>
  </si>
  <si>
    <t>[Cùng Hiếu] API test khách hàng (Postman)</t>
  </si>
  <si>
    <t>S2: rút/hủy, chuyển người duyệt, Outbox, thiết kế E-Sign · S3: ký điện tử đầy đủ + retry</t>
  </si>
  <si>
    <t>US-CUS-06 – Tìm khách hàng phục vụ công việc Kinh doanh
Phụ trách: Hiếu</t>
  </si>
  <si>
    <t>PB-08</t>
  </si>
  <si>
    <t>Là một Nhân viên Kinh doanh, tôi muốn xem thông tin, đầu mối liên hệ và hồ sơ liên quan của khách hàng để chuẩn bị giao dịch dựa trên đúng bối cảnh hợp tác.</t>
  </si>
  <si>
    <t>TASK-009</t>
  </si>
  <si>
    <t>• Nhân viên xem được thông tin nhận diện, người đại diện, đầu mối liên hệ và trạng thái hợp tác của khách hàng được phép truy cập.
• Từ hồ sơ khách hàng, nhân viên xem được các hợp đồng, bảng giá và bảng thanh toán liên quan trong phạm vi được phân quyền.
• Quyền xem khách hàng không tự cấp quyền xem mọi hồ sơ liên quan. Hồ sơ ngoài phạm vi không được mở, kể cả khi truy cập bằng đường dẫn trực tiếp.
(+6 AC khác trong file user story)</t>
  </si>
  <si>
    <t>[Cùng Tuấn] Duyệt test plan + kịch bản demo MVP1</t>
  </si>
  <si>
    <t>TASK-010</t>
  </si>
  <si>
    <t>[Cùng Đan Anh] Review ERD</t>
  </si>
  <si>
    <t>US-CUS-07 – Xem thông tin và hồ sơ khách hàng để chuẩn bị giao dịch
Phụ trách: Hiếu</t>
  </si>
  <si>
    <t>PB-09</t>
  </si>
  <si>
    <t>Là một Nhân viên hoặc Trưởng phòng Kinh doanh được giao thẩm quyền, tôi muốn tạm ngưng khách hàng sau khi xác định cách xử lý công việc đang có để ngăn giao dịch cung cấp dịch vụ mới và giữ được hồ sơ cần hoàn tất.</t>
  </si>
  <si>
    <t>TASK-011</t>
  </si>
  <si>
    <t>• Chỉ người được giao thẩm quyền tạm ngưng mới được xác nhận quyết định và chuyển khách hàng sang Suspended.
• Khách hàng phải đang Active và có lý do tạm ngưng. Thiếu lý do hoặc chưa xác nhận thì khách hàng giữ Active.
• Khách hàng Suspended vẫn được hoàn thiện, lập lại hoặc điều chỉnh bảng thanh toán cho phần dịch vụ đáp ứng US-CUS-16. Việc lập hồ sơ này không yêu…
(+9 AC khác trong file user story)</t>
  </si>
  <si>
    <t>PB-05 – PB-10</t>
  </si>
  <si>
    <t>[Spec] Đặc tả hệ thống US-CUS-01, 02, 04, 05, 06, 07</t>
  </si>
  <si>
    <t>US-CUS-04 – Tạm ngưng giao dịch với khách hàng
Phụ trách: Hiếu</t>
  </si>
  <si>
    <t>PB-10</t>
  </si>
  <si>
    <t>TASK-012</t>
  </si>
  <si>
    <t>Là một Trưởng phòng Kinh doanh được giao thẩm quyền, tôi muốn kích hoạt lại khách hàng đã tạm ngưng sau khi xem xét lý do và thông tin hợp tác trở lại để tiếp tục giao dịch trên hồ sơ khách hàng hiện có.</t>
  </si>
  <si>
    <t>[Design] Sequence diagram Khách hàng (UI theo Figma chung)</t>
  </si>
  <si>
    <t>• Chỉ Trưởng phòng Kinh doanh hoặc người được giao quyền tương đương mới được xác nhận kích hoạt lại.
• Khách hàng phải đang Suspended. Không tạo một khách hàng mới để thay cho hồ sơ đang tạm ngưng.
• Hoàn thiện hồ sơ tính phí theo US-CUS-16 không yêu cầu kích hoạt lại khách hàng. Tiếp nhận giao dịch cung cấp dịch vụ mới vẫn phải đáp ứng trạng…
(+7 AC khác trong file user story)</t>
  </si>
  <si>
    <t>US-CUS-05 – Kích hoạt lại khách hàng để tiếp tục giao dịch
Phụ trách: Hiếu</t>
  </si>
  <si>
    <t>TASK-013</t>
  </si>
  <si>
    <t>PB-11</t>
  </si>
  <si>
    <t>Khu vực khai thác</t>
  </si>
  <si>
    <t>[DB] Bảng customer (mã, tên, MST, địa chỉ, đại diện, liên hệ, trạng thái), unique mã/MST</t>
  </si>
  <si>
    <t>Là một Trưởng phòng Khai thác, tôi muốn tạo hồ sơ khu vực khai thác đầy đủ thông số kỹ thuật và không trùng với hồ sơ đã có, để sử dụng đúng thông tin khi lập bảng giá dịch vụ và ghi nhận sản lượng khai thác thực tế.</t>
  </si>
  <si>
    <t>• Theo quy tắc ARE-01, mã khu vực là duy nhất trong toàn công ty, gồm các ký tự viết hoa và chữ số không dấu (ví dụ: KV-CANG-A, KV-BEN-01), không trùng…
• Theo quy tắc ARE-02, tên khu vực không được trùng với các khu vực khác có cùng khu vực cấp cha trực tiếp (ParentAreaId).
• Khi lưu thành công, khu vực được cấp mã duy nhất và ở trạng thái Active. Người tạo, thời điểm tạo và toàn bộ thông tin ban đầu được ghi nhận vào nhật…
(+5 AC khác trong file user story)</t>
  </si>
  <si>
    <t>TASK-014</t>
  </si>
  <si>
    <t>US-ARE-01 – Tạo hồ sơ khu vực khai thác
Phụ trách: Tuấn</t>
  </si>
  <si>
    <t>[BE] API tạo / cập nhật khách hàng + validate</t>
  </si>
  <si>
    <t>PB-12</t>
  </si>
  <si>
    <t>Là một Trưởng phòng Khai thác, tôi muốn định vị và gắn kết khu vực mới vào đúng vị trí trên sơ đồ phân cấp mặt bằng cảng, để tổ chức cấu trúc không gian khoa học và phục vụ tổng hợp sản lượng theo từng cấp bến bãi.</t>
  </si>
  <si>
    <t>Hợp đồng</t>
  </si>
  <si>
    <t>TASK-015</t>
  </si>
  <si>
    <t>[BE] API tìm kiếm (mã/tên/MST/trạng thái, phân trang) &amp; chi tiết</t>
  </si>
  <si>
    <t>Đặc tả + code hợp đồng: tạo, danh sách, trình duyệt, sửa, hủy nháp</t>
  </si>
  <si>
    <t>S2: phụ lục, lưu trữ &amp; hiệu lực, job theo ngày · S3: ký HĐ/phụ lục, hủy ngang, chấm dứt, bàn giao sau ký</t>
  </si>
  <si>
    <t>TASK-016</t>
  </si>
  <si>
    <t>[FE] Màn hình danh sách + tìm kiếm khách hàng</t>
  </si>
  <si>
    <t>• Người thực hiện có thể chọn khu vực cấp cha từ sơ đồ phân cấp mặt bằng cảng.
• Theo quy tắc ARE-03, cấu trúc phân cấp mặt bằng tổ chức tối đa 3 cấp logic: Cấp 1 (Cảng biển / Cụm ICD) → Cấp 2 (Bãi / Kho / Cầu bến chính) → Cấp 3…
• Khi chọn khu vực cha, cấu trúc phân cấp được kiểm tra độ sâu. Nếu khu vực cha đã ở cấp 3, không cho phép tạo phân khu con cấp 4 và chỉ rõ giới hạn số…
(+3 AC khác trong file user story)</t>
  </si>
  <si>
    <t>TASK-017</t>
  </si>
  <si>
    <t>[FE] Form tạo/sửa + trang chi tiết KH (tab HĐ / bảng giá / bảng TT)</t>
  </si>
  <si>
    <t>US-ARE-02 – Thiết lập cấu trúc phân cấp mặt bằng cảng
Phụ trách: Tuấn</t>
  </si>
  <si>
    <t>PB-13</t>
  </si>
  <si>
    <t>Là một Trưởng phòng Khai thác, tôi muốn cập nhật tên gọi, ranh giới, tọa độ và thông số sức chứa của khu vực, để hồ sơ mặt bằng phản ánh đúng năng lực khai thác thực tế mà không làm sai lệch dữ liệu lịch sử.</t>
  </si>
  <si>
    <t>TASK-018</t>
  </si>
  <si>
    <t>• Người thực hiện có thể cập nhật tên khu vực, loại mặt bằng, tọa độ địa lý, diện tích, sức chứa thiết kế và mô tả. Tên mới không được trùng với các…
• Theo quy tắc ARE-07, khi khu vực đã phát sinh bản ghi tham chiếu trong Bảng giá (PRC), Hợp đồng (CTR) hoặc Phiếu sản lượng (OUT), trường Mã khu vực…
• Theo quy tắc ARE-08, việc cập nhật tên hoặc diện tích khu vực không làm thay đổi thông tin định danh đã lưu trong snapshot của các bảng giá, hợp đồng…
(+5 AC khác trong file user story)</t>
  </si>
  <si>
    <t>PB-09, PB-10</t>
  </si>
  <si>
    <t>[BE] Tạm ngưng / kích hoạt lại KH (bắt buộc lý do, chặn chọn KH Suspended)</t>
  </si>
  <si>
    <t>US-ARE-04 – Cập nhật thông tin và quy chuẩn kỹ thuật khu vực
Phụ trách: Tuấn</t>
  </si>
  <si>
    <t>PB-14</t>
  </si>
  <si>
    <t>TASK-019</t>
  </si>
  <si>
    <t>Là một Nhân viên Khai thác hoặc Nhân viên Kinh doanh, tôi muốn tìm kiếm nhanh chóng khu vực mặt bằng theo mã hiệu, tên gọi, loại hình hoặc khu vực cha, để chọn đúng khu vực cần tác nghiệp mà không bị nhầm lẫn.</t>
  </si>
  <si>
    <t>[FE] Thao tác tạm ngưng / kích hoạt lại</t>
  </si>
  <si>
    <t>• Người dùng có thể tìm kiếm theo mã khu vực hoặc tên khu vực, không phân biệt chữ hoa, chữ thường và hỗ trợ tiếng Việt không dấu.
• Hỗ trợ bộ lọc theo: Trạng thái (mặc định hiển thị Active, có tùy chọn xem Suspended hoặc Tất cả), Loại mặt bằng (Cảng, Cầu bến, Bãi CY, Kho CFS...)…
• Cho phép chuyển đổi hiển thị linh hoạt giữa Dạng danh sách bảng và Dạng sơ đồ phân cấp mặt bằng.
(+2 AC khác trong file user story)</t>
  </si>
  <si>
    <t>TASK-020</t>
  </si>
  <si>
    <t>US-ARE-12 – Tra cứu danh sách và tìm kiếm khu vực khai thác
Phụ trách: Tuấn</t>
  </si>
  <si>
    <t>PB-15</t>
  </si>
  <si>
    <t>[Test] Unit test rule khách hàng</t>
  </si>
  <si>
    <t>Là một Nhân viên Khai thác hoặc Nhân viên Kinh doanh, tôi muốn xem hồ sơ chi tiết toàn diện của một khu vực mặt bằng bao gồm các thông số kỹ thuật, dịch vụ được phép, nhân sự phụ trách, bảng giá và sản lượng liên kết, để nắm rõ hiện trạng trước khi thực hiện nghiệp vụ.</t>
  </si>
  <si>
    <t>• Màn hình chi tiết hiển thị đầy đủ thông tin định danh: Mã khu vực, Tên khu vực, Trạng thái (Active / Suspended), Cấp bậc phân cấp, Tọa độ, Diện tích…
• Cấu trúc hồ sơ gồm các phần chuyên đề: Phân khu con, Dịch vụ được phép, Nhân sự phụ trách, Bảng giá dịch vụ, Sản lượng khai thác, Hợp đồng &amp; Khách…
• Thể hiện thông tin tóm tắt: số lượng bảng giá đang hiệu lực, số hợp đồng đang hoạt động, và tổng sản lượng trong kỳ gần nhất.
(+3 AC khác trong file user story)</t>
  </si>
  <si>
    <t>TASK-021</t>
  </si>
  <si>
    <t>PB-27 – PB-29</t>
  </si>
  <si>
    <t>[Spec] Đặc tả hệ thống US-CTR-04, 05, 06 (phối hợp Lộc vì dùng chung workflow engine)</t>
  </si>
  <si>
    <t>US-ARE-13 – Xem hồ sơ chi tiết và thông tin liên kết của khu vực
Phụ trách: Tuấn</t>
  </si>
  <si>
    <t>TASK-022</t>
  </si>
  <si>
    <t>PB-16</t>
  </si>
  <si>
    <t>[BE] Đăng nhập JWT, đăng xuất, hash mật khẩu, seed tài khoản mẫu cho 6 phòng ban</t>
  </si>
  <si>
    <t>Là một Nhân viên Kinh doanh, tôi muốn tạo và lưu hồ sơ hợp đồng trên hệ thống để quản lý thông tin hợp đồng và chuẩn bị cho quy trình rà soát, phê duyệt.</t>
  </si>
  <si>
    <t>• Nhân viên có thể lựa chọn khách hàng đã tồn tại trong danh mục và sử dụng thông tin khách hàng để lập hợp đồng.
• Nhân viên có thể nhập loại hợp đồng, phạm vi dịch vụ, thời gian hiệu lực, giá trị, điều khoản thanh toán và các thông tin cần thiết.
• Nhân viên có thể lựa chọn mẫu hợp đồng phù hợp hoặc lập dự thảo mới.
(+3 AC khác trong file user story)</t>
  </si>
  <si>
    <t>TASK-023</t>
  </si>
  <si>
    <t>[BE] Người dùng / phòng ban / vai trò / quyền + policy-based authorization</t>
  </si>
  <si>
    <t>US-CTR-01 – Tạo hồ sơ hợp đồng
Phụ trách: Phong</t>
  </si>
  <si>
    <t>TASK-024</t>
  </si>
  <si>
    <t>PB-17</t>
  </si>
  <si>
    <t>[BE] Audit log interceptor (SaveChanges) + bảng audit_log append-only</t>
  </si>
  <si>
    <t>Là một người dùng có quyền truy cập phân hệ hợp đồng, tôi muốn xem danh sách và thông tin chi tiết các hợp đồng thuộc phạm vi phụ trách hoặc quản lý của mình để theo dõi và thực hiện công việc.</t>
  </si>
  <si>
    <t>• Nhân viên Kinh doanh chỉ được xem các hợp đồng do mình phụ trách.
• Trưởng phòng Kinh doanh được xem các hợp đồng thuộc phạm vi phòng ban mình quản lý.
• Người quản lý cấp cao được xem các hợp đồng thuộc phạm vi quản lý theo quyền hạn được cấp.
(+2 AC khác trong file user story)</t>
  </si>
  <si>
    <t>TASK-025</t>
  </si>
  <si>
    <t>[FE] Màn hình đăng nhập + quản lý người dùng &amp; phân quyền</t>
  </si>
  <si>
    <t>US-CTR-02 – Xem danh sách và thông tin hợp đồng theo quyền hạn
Phụ trách: Phong</t>
  </si>
  <si>
    <t>TASK-026</t>
  </si>
  <si>
    <t>PB-18</t>
  </si>
  <si>
    <t>[BE] Cấu hình luồng duyệt HĐ 3 cấp + nhận callback cập nhật trạng thái HĐ (Approved/Rejected/Revision Requested)</t>
  </si>
  <si>
    <t>Là một Nhân viên Kinh doanh, tôi muốn gửi hồ sơ hợp đồng đã hoàn thiện vào quy trình phê duyệt để các cấp có thẩm quyền rà soát và quyết định.</t>
  </si>
  <si>
    <t>• Nhân viên chỉ được trình duyệt hồ sơ thuộc quyền phụ trách và đang ở trạng thái Dự thảo hoặc Yêu cầu chỉnh sửa.
• Khi trình duyệt thành công, hồ sơ chuyển sang trạng thái Đã trình (Submitted) và được chuyển đến Trưởng phòng Kinh doanh.
• Hồ sơ đang Đã trình không được chỉnh sửa trực tiếp.
(+2 AC khác trong file user story)</t>
  </si>
  <si>
    <t>TASK-027</t>
  </si>
  <si>
    <t>[FE] Màn hình rà soát/duyệt HĐ theo cấp (xem bản trình, ý kiến pháp lý, approve/reject/yêu cầu sửa)</t>
  </si>
  <si>
    <t>US-CTR-03 – Trình duyệt hợp đồng
Phụ trách: Phong</t>
  </si>
  <si>
    <t>PB-19</t>
  </si>
  <si>
    <t>Là một Nhân viên Kinh doanh phụ trách hồ sơ, tôi muốn rà soát, chỉnh sửa và bổ sung thông tin của hợp đồng hoặc phụ lục khi được phép để hoàn thiện hồ sơ trước khi trình duyệt hoặc đáp ứng yêu cầu của cấp duyệt.</t>
  </si>
  <si>
    <t>• Chỉ người phụ trách hồ sơ được phép chỉnh sửa.
• Chỉ hồ sơ ở trạng thái nháp hoặc Yêu cầu chỉnh sửa mới được chỉnh sửa nội dung.
• Nhân viên có thể xem yêu cầu chỉnh sửa được ghi nhận từ cấp duyệt.
(+4 AC khác trong file user story)</t>
  </si>
  <si>
    <t>TASK-028</t>
  </si>
  <si>
    <t>[Test] Unit test phân quyền + rule CTR-04..06</t>
  </si>
  <si>
    <t>US-CTR-16 – Chỉnh sửa hồ sơ hợp đồng hoặc phụ lục
Phụ trách: Phong
Sprint 1 chỉ làm phần hợp đồng; phần phụ lục làm ở Sprint 2.</t>
  </si>
  <si>
    <t>PB-20</t>
  </si>
  <si>
    <t>TASK-029</t>
  </si>
  <si>
    <t>Là một Nhân viên Kinh doanh phụ trách hồ sơ, tôi muốn hủy hợp đồng hoặc phụ lục đang ở trạng thái Dự thảo khi không còn nhu cầu tiếp tục xử lý để tránh duy trì các hồ sơ không cần thiết.</t>
  </si>
  <si>
    <t>PB-30, PB-31</t>
  </si>
  <si>
    <t>• Nhân viên có thể hủy hồ sơ Dự thảo do mình phụ trách.
• Nhân viên phải ghi nhận lý do hủy hồ sơ.
• Khi xác nhận hủy, hồ sơ chuyển sang Đã hủy (Cancelled).
(+2 AC khác trong file user story)</t>
  </si>
  <si>
    <t>[Spec] Đặc tả hệ thống US-APR-06, 09</t>
  </si>
  <si>
    <t>US-CTR-18 – Hủy hồ sơ dự thảo
Phụ trách: Phong</t>
  </si>
  <si>
    <t>PB-21</t>
  </si>
  <si>
    <t>TASK-030</t>
  </si>
  <si>
    <t>Quy trình phê duyệt</t>
  </si>
  <si>
    <t>[Design] Vẽ ERD toàn hệ thống</t>
  </si>
  <si>
    <t>Là một Quản trị hệ thống, tôi muốn cấu hình các bước và quy tắc phân công phê duyệt theo từng loại hồ sơ, để hệ thống áp dụng được quy trình phù hợp mà không cố định mọi loại hồ sơ vào cùng một luồng.</t>
  </si>
  <si>
    <t>• Chỉ người có quyền cấu hình workflow được tạo hoặc cập nhật cấu hình cho loại hồ sơ.
• Cấu hình xác định được loại/phạm vi áp dụng, các bước bắt buộc, thứ tự, vai trò hoặc quy tắc xác định người nhận và bước cuối cùng.
• Theo lựa chọn đang ghi trong UC-APR-01, cập nhật cấu hình không tự thay đổi thứ tự hoặc phân công của lượt đang chạy; giữ được căn cứ quy trình áp…
(+4 AC khác trong file user story)</t>
  </si>
  <si>
    <t>TASK-031</t>
  </si>
  <si>
    <t>[FE] Khung FE (React + TypeScript + Vite), routing, layout menu theo quyền, axios + JWT interceptor</t>
  </si>
  <si>
    <t>Cần làm rõ</t>
  </si>
  <si>
    <t>US-APR-10 – Cấu hình quy trình phê duyệt theo loại hồ sơ
Phụ trách: Lộc (BE), Đan Anh (FE)
Lộc viết UC hệ thống &amp; chốt mô hình cấu hình trong 2 ngày đầu Sprint 1 (theo AC-07 của US-APR-10).</t>
  </si>
  <si>
    <t>2/11–7/11 (tuần 6) – dòng 'code ban đầu' chưa có người</t>
  </si>
  <si>
    <t>PB-22</t>
  </si>
  <si>
    <t>TASK-032</t>
  </si>
  <si>
    <t>[FE] Component dùng chung: bảng phân trang, form validate, upload file, badge trạng thái</t>
  </si>
  <si>
    <t>Là một nhân viên thuộc bộ phận phụ trách hồ sơ, tôi muốn trình hồ sơ đã hoàn thiện theo quy trình áp dụng cho loại hồ sơ đó, để hồ sơ được xem xét đúng trình tự và giao đến đúng người chịu trách nhiệm.</t>
  </si>
  <si>
    <t>• Chỉ người được phân quyền trình hồ sơ thuộc phạm vi phụ trách mới thực hiện được việc gửi duyệt. Hồ sơ phải xác định rõ loại, bản nội dung được trình…
• Người được giao nhận thông báo có hồ sơ cần xử lý. Nếu thông báo tạm thời lỗi, lượt duyệt và dữ liệu đã ghi nhận được giữ nguyên, phần thông báo được…
• Trong khi chờ duyệt, người soạn không được tự sửa bản đang xem xét. Việc rút hoặc yêu cầu sửa tuân US-APR-07 và UC nguồn.
(+5 AC khác trong file user story)</t>
  </si>
  <si>
    <t>TASK-033</t>
  </si>
  <si>
    <t>[DB+BE] Danh mục dịch vụ, nhóm dịch vụ, đơn vị tính, thuế suất + seed + test</t>
  </si>
  <si>
    <t>US-APR-01 – Trình hồ sơ theo quy trình phê duyệt
Phụ trách: Lộc</t>
  </si>
  <si>
    <t>PB-23</t>
  </si>
  <si>
    <t>TASK-034</t>
  </si>
  <si>
    <t>[FE] Màn hình danh mục dùng chung (tái dùng component CRUD)</t>
  </si>
  <si>
    <t>Là một người được giao ở bước phê duyệt hiện tại, tôi muốn xem đúng bản hồ sơ và chấp thuận nội dung thuộc trách nhiệm của mình kèm ý kiến, để hồ sơ được chuyển tiếp theo đúng trình tự và thẩm quyền.</t>
  </si>
  <si>
    <t>• Chỉ người đang được giao chính thức tại bước hiện tại được approve. Người có cùng chức danh hoặc cùng phòng ban nhưng không được giao không được…
• Người duyệt xem được đúng bản đã trình, tài liệu căn cứ và kết quả các bước đã hoàn thành trong phạm vi được phép.
• Nếu đây là bước cuối, thực hiện hoàn tất theo US-APR-05; không chuyển Approved chỉ vì một bước trung gian đã chấp thuận.
(+6 AC khác trong file user story)</t>
  </si>
  <si>
    <t>TASK-035</t>
  </si>
  <si>
    <t>[BE] API tiến độ phê duyệt &amp; lịch sử các lượt duyệt</t>
  </si>
  <si>
    <t>US-APR-02 – Xem xét và chấp thuận bước duyệt được giao
Phụ trách: Lộc</t>
  </si>
  <si>
    <t>PB-24</t>
  </si>
  <si>
    <t>TASK-036</t>
  </si>
  <si>
    <t>[FE] Component timeline tiến độ duyệt + màn hình 'Hồ sơ chờ tôi xử lý'</t>
  </si>
  <si>
    <t>Là một người được giao ở bước phê duyệt hiện tại, tôi muốn trả hồ sơ kèm nội dung và lý do cần chỉnh sửa, để bộ phận phụ trách hoàn thiện hồ sơ trước khi được xem xét tiếp.</t>
  </si>
  <si>
    <t>• Chỉ người đang được giao ở bước hiện tại được yêu cầu chỉnh sửa hồ sơ trong lượt đang xử lý.
• Yêu cầu phải ghi nội dung cần sửa và lý do; thiếu thông tin bắt buộc thì chưa công nhận quyết định và giữ nguyên bước hiện tại.
• Khi yêu cầu hợp lệ, dừng chuyển tiếp lượt duyệt và trả hồ sơ cho bộ phận phụ trách; không tự chuyển đến bước kế tiếp hoặc gửi ký.
(+3 AC khác trong file user story)</t>
  </si>
  <si>
    <t>TASK-037</t>
  </si>
  <si>
    <t>[FE] Màn hình cấu hình quy trình phê duyệt (danh sách bước, thứ tự, người/vai trò duyệt)</t>
  </si>
  <si>
    <t>US-APR-03 – Yêu cầu chỉnh sửa hồ sơ đang duyệt
Phụ trách: Lộc</t>
  </si>
  <si>
    <t>PB-25</t>
  </si>
  <si>
    <t>TASK-038</t>
  </si>
  <si>
    <t>PB-11 – PB-15</t>
  </si>
  <si>
    <t>Là một người được giao ở bước phê duyệt hiện tại, tôi muốn từ chối hồ sơ không đạt yêu cầu kèm lý do, để kết thúc lượt xem xét và thông báo rõ căn cứ cho bộ phận phụ trách.</t>
  </si>
  <si>
    <t>[Spec] Đặc tả hệ thống US-ARE-01, 02, 04, 12, 13</t>
  </si>
  <si>
    <t>• Với bảng giá, sửa và trình lại tuân UC-PRC-02 và các US-PRC tương ứng. Với hợp đồng/phụ lục, tuân UC-CTR-02/05 và quy tắc xử lý của module Hợp đồng.
• Với bảng thanh toán, áp dụng quy tắc nhóm đang ghi tại US-PAY-05 AC-06: bảng Rejected không được trình lại, nếu cần thì lập bảng mới. Đây là lựa chọn…
• Ở bước cuối của bảng giá, nếu phát sinh chồng thời gian theo điều kiện UC-PRC-03/US-PRC-08, không cho approve; người duyệt ghi nhận từ chối kèm lý do…
(+4 AC khác trong file user story)</t>
  </si>
  <si>
    <t>TASK-039</t>
  </si>
  <si>
    <t>[Design] Class + sequence diagram Khu vực</t>
  </si>
  <si>
    <t>US-APR-04 – Từ chối hồ sơ được giao xem xét
Phụ trách: Lộc</t>
  </si>
  <si>
    <t>PB-26</t>
  </si>
  <si>
    <t>TASK-040</t>
  </si>
  <si>
    <t>Là một nhân viên thuộc bộ phận phụ trách hồ sơ, tôi muốn nhận kết quả phê duyệt cuối cùng và chuyển hồ sơ sang nghiệp vụ tiếp theo, để hồ sơ đã duyệt được tiếp tục xử lý mà không mất kết quả khi thông báo hoặc dịch vụ ký bị gián đoạn.</t>
  </si>
  <si>
    <t>[DB] Bảng area (cây cha–con, cấp, loại, quy chuẩn kỹ thuật, trạng thái)</t>
  </si>
  <si>
    <t>• Hồ sơ chỉ chuyển Approved khi tất cả các bước bắt buộc đã hoàn thành và người được giao ở bước cuối chấp thuận hợp lệ kèm comment.
• Lưu toàn bộ kết quả, ý kiến và bản nội dung được duyệt; không ghi hoàn tất nhiều lần cho cùng lượt khi nhận yêu cầu lặp.
• Bảng thanh toán tiếp tục UC-PAY-04 sau thông báo theo UC-PAY-03; bảng giá tiếp tục UC-PRC-04; hợp đồng/phụ lục tiếp tục quy trình ký tương ứng. Không…
(+3 AC khác trong file user story)</t>
  </si>
  <si>
    <t>TASK-041</t>
  </si>
  <si>
    <t>[BE] API tạo khu vực, ràng buộc tối đa 3 cấp, chặn vòng lặp</t>
  </si>
  <si>
    <t>US-APR-05 – Hoàn tất phê duyệt và chuyển nghiệp vụ kế tiếp
Phụ trách: Lộc</t>
  </si>
  <si>
    <t>PB-27</t>
  </si>
  <si>
    <t>Là một Trưởng phòng Kinh doanh, tôi muốn xem xét và đưa ra quyết định đối với các hồ sơ hợp đồng được trình duyệt để bảo đảm nội dung kinh doanh phù hợp trước khi chuyển sang Phòng Pháp chế.</t>
  </si>
  <si>
    <t>TASK-042</t>
  </si>
  <si>
    <t>• Trưởng phòng có thể tiếp nhận hồ sơ Đã trình thuộc phạm vi quản lý; khi bắt đầu xem xét, hồ sơ chuyển sang Đang rà soát (Under Review).
• Trưởng phòng có thể xem nội dung hợp đồng, thông tin khách hàng, điều kiện thương mại và tài liệu đính kèm.
• Khi hồ sơ đạt yêu cầu, Trưởng phòng có thể xác nhận duyệt để tiếp tục quy trình rà soát pháp lý.
(+2 AC khác trong file user story)</t>
  </si>
  <si>
    <t>[BE] API cập nhật, tìm kiếm, chi tiết khu vực + API lookup KV Active cho module HĐ</t>
  </si>
  <si>
    <t>TASK-043</t>
  </si>
  <si>
    <t>US-CTR-04 – Rà soát hợp đồng ở cấp Trưởng phòng Kinh doanh
Phụ trách: Minh
Phối hợp Lộc vì dùng chung workflow engine.</t>
  </si>
  <si>
    <t>[FE] Màn hình cây khu vực (tree view) + form tạo/sửa</t>
  </si>
  <si>
    <t>PB-28</t>
  </si>
  <si>
    <t>Là một Nhân viên Pháp chế, tôi muốn rà soát và ghi nhận kết luận pháp lý đối với hồ sơ hợp đồng để bảo đảm hợp đồng đáp ứng yêu cầu pháp lý trước khi trình Ban Giám đốc.</t>
  </si>
  <si>
    <t>TASK-044</t>
  </si>
  <si>
    <t>[FE] Màn hình tìm kiếm &amp; chi tiết khu vực</t>
  </si>
  <si>
    <t>• Pháp chế có thể truy cập hợp đồng được chuyển đến để rà soát, bao gồm nội dung hợp đồng và tài liệu liên quan.
• Pháp chế có thể ghi nhận kết quả hồ sơ đạt yêu cầu và chuyển hồ sơ lên Ban Giám đốc.
• Pháp chế có thể yêu cầu chỉnh sửa, bổ sung thông tin hoặc tài liệu; hồ sơ chuyển sang trạng thái Yêu cầu chỉnh sửa.
(+2 AC khác trong file user story)</t>
  </si>
  <si>
    <t>TASK-045</t>
  </si>
  <si>
    <t>[Test] Unit test phân cấp/vòng lặp</t>
  </si>
  <si>
    <t>US-CTR-05 – Rà soát pháp lý hợp đồng
Phụ trách: Minh
Phối hợp Lộc vì dùng chung workflow engine.</t>
  </si>
  <si>
    <t>PB-29</t>
  </si>
  <si>
    <t>TASK-046</t>
  </si>
  <si>
    <t>Là một thành viên Ban Giám đốc có thẩm quyền, tôi muốn xem xét và quyết định phê duyệt các hợp đồng đã hoàn thành rà soát để bảo đảm chỉ những hợp đồng đủ điều kiện mới được tiến hành ký kết.</t>
  </si>
  <si>
    <t>[Test] Test plan tổng, mẫu test case, Postman collection</t>
  </si>
  <si>
    <t>• Ban Giám đốc có thể xem hồ sơ hợp đồng, tài liệu đính kèm và kết quả rà soát trước đó.
• Khi phê duyệt, hồ sơ chuyển sang Đã duyệt (Approved).
• Hồ sơ Đã duyệt không được chỉnh sửa trực tiếp.
(+3 AC khác trong file user story)</t>
  </si>
  <si>
    <t>TASK-047</t>
  </si>
  <si>
    <t>[Test] Test case + seed dữ liệu &amp; kịch bản demo MVP1</t>
  </si>
  <si>
    <t>US-CTR-06 – Phê duyệt hợp đồng ở cấp Ban Giám đốc
Phụ trách: Minh
Phối hợp Lộc vì dùng chung workflow engine.</t>
  </si>
  <si>
    <t>PB-30</t>
  </si>
  <si>
    <t>Là một người dùng có quyền xem hồ sơ, tôi muốn biết hồ sơ đang ở bước nào, ai đang giữ và còn những bước nào, để chủ động theo dõi và phối hợp hoàn tất quy trình.</t>
  </si>
  <si>
    <t>TASK-048</t>
  </si>
  <si>
    <t>PB-21 – PB-26</t>
  </si>
  <si>
    <t>[Spec] Đặc tả hệ thống US-APR-01..05, 10</t>
  </si>
  <si>
    <t>• Chỉ hiển thị tiến độ của hồ sơ thuộc phạm vi người dùng được phép xem.
• Hiển thị trạng thái hồ sơ, lượt duyệt đang áp dụng, các bước đã hoàn thành, đang xử lý và còn lại.
• Việc xem tiến độ không làm thay đổi hồ sơ, quyền xử lý hoặc kết quả duyệt. Với hợp đồng, tái sử dụng SYS-CTR-07; với bảng giá, tái sử dụng US-PRC-09…
(+4 AC khác trong file user story)</t>
  </si>
  <si>
    <t>US-APR-06 – Theo dõi tiến độ phê duyệt hồ sơ
Phụ trách: Đan Anh</t>
  </si>
  <si>
    <t>PB-31</t>
  </si>
  <si>
    <t>TASK-049</t>
  </si>
  <si>
    <t>Là một người dùng có quyền truy vết hồ sơ, tôi muốn xem lịch sử trình, quyết định duyệt và thay đổi phân công theo từng lượt, để kiểm tra ai đã xử lý gì và giải trình khi phát sinh sai lệch.</t>
  </si>
  <si>
    <t>[Hạ tầng] Khung dự án .NET (Api/Application/Domain/Infrastructure) + kết nối Supabase (PostgreSQL), EF Core migration</t>
  </si>
  <si>
    <t>• Chỉ người có quyền truy vết được xem lịch sử hồ sơ thuộc phạm vi được phân quyền.
• Lịch sử phân biệt được hồ sơ, bản nội dung, lượt duyệt và bước có liên quan đến từng hành động.
• Tra cứu không cho phép sửa/xóa lịch sử để thay đổi kết quả đã ghi nhận; thông tin tiến độ hiện hành của US-APR-06 được phân biệt với lịch sử đã xảy…
(+3 AC khác trong file user story)</t>
  </si>
  <si>
    <t>TASK-050</t>
  </si>
  <si>
    <t>US-APR-09 – Tra cứu lịch sử xử lý phê duyệt
Phụ trách: Đan Anh</t>
  </si>
  <si>
    <t>[Hạ tầng] Repo GitHub, bảo vệ nhánh, CI build + test (GitHub Actions)</t>
  </si>
  <si>
    <t>Kiểm thử &amp; phát hành</t>
  </si>
  <si>
    <t>MVP1 chạy được end-to-end và demo được.</t>
  </si>
  <si>
    <t>TASK-051</t>
  </si>
  <si>
    <t>Test plan + test case các rule CTR-01..04, APR-01..03 pass; seed dữ liệu demo; kịch bản demo MVP1.</t>
  </si>
  <si>
    <t>[Design] Mô hình workflow engine (definition/step/instance/task) + sequence diagram trình–duyệt</t>
  </si>
  <si>
    <t>Hạng mục nền tảng; Phụ trách: Tuấn, Xuân</t>
  </si>
  <si>
    <t>TASK-052</t>
  </si>
  <si>
    <t>PB-33</t>
  </si>
  <si>
    <t>[DB] Bảng workflow_definition, workflow_step, workflow_instance, workflow_task, approval_action</t>
  </si>
  <si>
    <t>Là một Nhân viên Kinh doanh, tôi muốn lưu các đầu mối liên hệ của khách hàng theo vai trò công việc để phối hợp đúng người khi trao đổi về vận hành, hồ sơ hoặc thanh toán.</t>
  </si>
  <si>
    <t>• Chỉ nhân viên được giao quản lý thông tin liên hệ của khách hàng mới được bổ sung đầu mối.
• Nếu đầu mối đã có trong hồ sơ, nhân viên tiếp tục cập nhật theo US-CUS-13 thay vì bổ sung lại cùng một người.
• Nếu đầu mối được chọn làm liên hệ chính thì phải đáp ứng US-CUS-15.
(+5 AC khác trong file user story)</t>
  </si>
  <si>
    <t>Trung bình</t>
  </si>
  <si>
    <t>Mới</t>
  </si>
  <si>
    <t>TASK-053</t>
  </si>
  <si>
    <t>US-CUS-12 – Bổ sung người liên hệ của khách hàng
Phụ trách: Hiếu</t>
  </si>
  <si>
    <t>PB-34</t>
  </si>
  <si>
    <t>[BE] API CRUD cấu hình quy trình + validate thứ tự/bước cuối + kích hoạt phiên bản cấu hình</t>
  </si>
  <si>
    <t>Là một Nhân viên Kinh doanh, tôi muốn cập nhật thông tin đầu mối liên hệ đã có để sử dụng đúng thông tin liên lạc khi khách hàng thông báo thay đổi.</t>
  </si>
  <si>
    <t>• Nhân viên chỉ cập nhật người liên hệ thuộc khách hàng được giao quản lý.
• Trước khi sửa, nhân viên xem được thông tin hiện tại của đúng đầu mối để đối chiếu.
• Có thể cập nhật họ tên, chức vụ, vai trò công việc, email và số điện thoại. Việc thay đổi liên hệ chính được xử lý theo US-CUS-15.
(+4 AC khác trong file user story)</t>
  </si>
  <si>
    <t>TASK-054</t>
  </si>
  <si>
    <t>PB-22 – PB-26</t>
  </si>
  <si>
    <t>[BE] Khởi tạo lượt duyệt: chọn cấu hình theo loại hồ sơ, snapshot, xác định assignee, Idempotency-Key</t>
  </si>
  <si>
    <t>US-CUS-13 – Cập nhật thông tin người liên hệ
Phụ trách: Hiếu</t>
  </si>
  <si>
    <t>TASK-055</t>
  </si>
  <si>
    <t>PB-35</t>
  </si>
  <si>
    <t>[BE] Approve / Reject / Request revision: kiểm tra assignee, chuyển bước, comment bắt buộc, optimistic locking</t>
  </si>
  <si>
    <t>Là một Nhân viên Kinh doanh, tôi muốn loại người không còn phụ trách khỏi danh sách liên hệ hiện hành để tránh tiếp tục liên lạc nhầm đầu mối.</t>
  </si>
  <si>
    <t>• Nhân viên chỉ loại người liên hệ thuộc khách hàng được giao quản lý.
• Trước khi xác nhận, nhân viên xác định đúng khách hàng và người cần loại khỏi danh sách hiện hành.
• Sau khi xác nhận, người đó không còn được lựa chọn làm đầu mối liên hệ hiện hành của khách hàng.
(+4 AC khác trong file user story)</t>
  </si>
  <si>
    <t>TASK-056</t>
  </si>
  <si>
    <t>[BE] Interface IApprovableDocument dùng chung cho mọi loại hồ sơ</t>
  </si>
  <si>
    <t>US-CUS-14 – Loại người không còn là đầu mối liên hệ
Phụ trách: Hiếu</t>
  </si>
  <si>
    <t>PB-36</t>
  </si>
  <si>
    <t>TASK-057</t>
  </si>
  <si>
    <t>Là một Nhân viên Kinh doanh, tôi muốn xác định một đầu mối liên hệ chính của khách hàng để các bộ phận biết người cần ưu tiên liên hệ.</t>
  </si>
  <si>
    <t>• Chỉ nhân viên được giao quản lý thông tin liên hệ mới được xác nhận đầu mối chính.
• Chỉ người còn trong danh sách liên hệ hiện hành của đúng khách hàng mới được chọn làm chính.
• Tại một thời điểm, một khách hàng có tối đa một người liên hệ chính.
(+4 AC khác trong file user story)</t>
  </si>
  <si>
    <t>[Test] Unit test APR-01..05 + 2 request duyệt đồng thời</t>
  </si>
  <si>
    <t>US-CUS-15 – Xác định hoặc thay đổi người liên hệ chính
Phụ trách: Hiếu</t>
  </si>
  <si>
    <t>PB-37</t>
  </si>
  <si>
    <t>TASK-058</t>
  </si>
  <si>
    <t>Thông báo</t>
  </si>
  <si>
    <t>PB-16 – PB-20</t>
  </si>
  <si>
    <t>Là người dùng, tôi muốn nhận thông báo khi có hồ sơ cần xử lý, bị từ chối, được duyệt.</t>
  </si>
  <si>
    <t>[Spec] Đặc tả hệ thống US-CTR-01, 02, 03, 16, 18</t>
  </si>
  <si>
    <t>Outbox ghi cùng transaction nghiệp vụ; background worker phát event + retry; Notification Service lưu thông báo; xem danh sách, đánh dấu đã đọc, badge chưa đọc; notification lỗi không làm hỏng dữ liệu duyệt (APR-07).</t>
  </si>
  <si>
    <t>TASK-059</t>
  </si>
  <si>
    <t>Hạng mục nền tảng (Đề mục 4.9, 5.5); Phụ trách: Lộc (Outbox), Đan Anh (Notification)</t>
  </si>
  <si>
    <t>PB-16, PB-17</t>
  </si>
  <si>
    <t>PB-38</t>
  </si>
  <si>
    <t>[Design] Sequence diagram tạo &amp; trình hợp đồng</t>
  </si>
  <si>
    <t>Tác vụ định kỳ</t>
  </si>
  <si>
    <t>Là hệ thống, tôi cần tự chuyển trạng thái theo ngày và nhắc hồ sơ sắp hết hạn.</t>
  </si>
  <si>
    <t>Job hằng ngày: HĐ Approved → Active khi đến ngày hiệu lực (CTR-05), Active → Expired; nhắc HĐ/bảng giá sắp hết hạn trước 30 ngày.</t>
  </si>
  <si>
    <t>TASK-060</t>
  </si>
  <si>
    <t>[DB] Bảng contract, contract_attachment, trạng thái hợp đồng</t>
  </si>
  <si>
    <t>Hạng mục nền tảng (Rule CTR-05; phần nhắc hạn của CTR-25, PRC-15); Phụ trách: Phong</t>
  </si>
  <si>
    <t>PB-39</t>
  </si>
  <si>
    <t>Phụ lục hợp đồng</t>
  </si>
  <si>
    <t>Là một Nhân viên Kinh doanh, tôi muốn tạo hồ sơ phụ lục gắn với hợp đồng gốc để ghi nhận những nội dung sửa đổi, bổ sung mà không phải chỉnh sửa trực tiếp hợp đồng đã duyệt hoặc đã ký.</t>
  </si>
  <si>
    <t>TASK-061</t>
  </si>
  <si>
    <t>• Nhân viên có thể lựa chọn hợp đồng gốc đủ điều kiện để lập phụ lục.
• Hệ thống hiển thị hợp đồng gốc và các phụ lục đã ký để nhân viên đối chiếu.
• Nhân viên có thể nhập nội dung trước điều chỉnh, nội dung sau điều chỉnh và ngày hiệu lực dự kiến.
(+3 AC khác trong file user story)</t>
  </si>
  <si>
    <t>[BE] API tạo/sửa HĐ Draft, upload/tải tệp đính kèm</t>
  </si>
  <si>
    <t>TASK-062</t>
  </si>
  <si>
    <t>US-CTR-09 – Tạo hồ sơ phụ lục hợp đồng
Phụ trách: Phong</t>
  </si>
  <si>
    <t>[BE] API danh sách HĐ theo quyền + chi tiết</t>
  </si>
  <si>
    <t>PB-40</t>
  </si>
  <si>
    <t>Là một Nhân viên Kinh doanh, tôi muốn trình duyệt hồ sơ phụ lục đã hoàn thiện để các cấp có thẩm quyền kiểm tra và phê duyệt nội dung điều chỉnh hợp đồng.</t>
  </si>
  <si>
    <t>TASK-063</t>
  </si>
  <si>
    <t>• Nhân viên có thể trình phụ lục thuộc quyền phụ trách ở trạng thái bản nháp hoặc Yêu cầu chỉnh sửa.
• Hồ sơ phụ lục phải có thông tin hợp đồng gốc và nội dung điều chỉnh trước khi trình.
• Sau khi trình thành công, phụ lục chuyển sang Đã trình và được chuyển đến Trưởng phòng Kinh doanh.
(+2 AC khác trong file user story)</t>
  </si>
  <si>
    <t>[FE] Màn hình danh sách &amp; chi tiết hợp đồng</t>
  </si>
  <si>
    <t>TASK-064</t>
  </si>
  <si>
    <t>[FE] Form tạo/sửa HĐ (chọn KH, KV, thời gian, giá trị, điều khoản, đính kèm)</t>
  </si>
  <si>
    <t>US-CTR-10 – Trình duyệt phụ lục hợp đồng
Phụ trách: Phong</t>
  </si>
  <si>
    <t>PB-41</t>
  </si>
  <si>
    <t>TASK-065</t>
  </si>
  <si>
    <t>Là một Trưởng phòng Kinh doanh, tôi muốn rà soát và đưa ra quyết định đối với phụ lục hợp đồng được trình để bảo đảm các nội dung điều chỉnh phù hợp với nhu cầu kinh doanh.</t>
  </si>
  <si>
    <t>• Trưởng phòng có thể xem phụ lục, hợp đồng gốc và nội dung điều chỉnh.
• Trưởng phòng có thể xác nhận hồ sơ đạt yêu cầu để tiếp tục quy trình.
• Trưởng phòng có thể yêu cầu chỉnh sửa và ghi rõ nội dung cần hoàn thiện.
(+2 AC khác trong file user story)</t>
  </si>
  <si>
    <t>[BE] Submit HĐ (kiểm tra CTR-02) gọi workflow engine; sửa khi Revision Requested; hủy dự thảo</t>
  </si>
  <si>
    <t>TASK-066</t>
  </si>
  <si>
    <t>[FE] Nút trình duyệt/hủy, hiển thị lý do yêu cầu chỉnh sửa</t>
  </si>
  <si>
    <t>US-CTR-11 – Rà soát phụ lục ở cấp Trưởng phòng Kinh doanh
Phụ trách: Phong</t>
  </si>
  <si>
    <t>PB-42</t>
  </si>
  <si>
    <t>Là một nhân viên thuộc bộ phận chuyên môn liên quan, tôi muốn xem xét và xác nhận những nội dung điều chỉnh của phụ lục thuộc phạm vi phụ trách để bảo đảm các thay đổi có thể được áp dụng phù hợp với hoạt động của doanh nghiệp.</t>
  </si>
  <si>
    <t>• Bộ phận liên quan có thể xem nội dung phụ lục cần phối hợp rà soát.
• Khi phụ lục điều chỉnh đơn giá hoặc điều khoản thanh toán, Phòng Kế toán có thể ghi nhận ý kiến về tác động tài chính.
• Bộ phận liên quan có thể xác nhận nội dung phù hợp hoặc yêu cầu bổ sung, chỉnh sửa kèm lý do.
(+2 AC khác trong file user story)</t>
  </si>
  <si>
    <t>US-CTR-12 – Xác nhận nội dung điều chỉnh thuộc phạm vi chuyên môn
Phụ trách: Phong</t>
  </si>
  <si>
    <t>PB-43</t>
  </si>
  <si>
    <t>Là một Nhân viên Pháp chế, tôi muốn rà soát phụ lục và đối chiếu với hợp đồng gốc cùng các phụ lục trước đó để bảo đảm nội dung điều chỉnh hợp lệ, không mâu thuẫn và không chồng lấn hiệu lực.</t>
  </si>
  <si>
    <t>• Pháp chế có thể xem nội dung phụ lục, hợp đồng gốc và các phụ lục đã ký.
• Pháp chế có thể ghi nhận kết quả hồ sơ đạt yêu cầu và chuyển trình Ban Giám đốc.
• Khi phát hiện nội dung không phù hợp, Pháp chế có thể yêu cầu chỉnh sửa và ghi rõ lý do.
(+2 AC khác trong file user story)</t>
  </si>
  <si>
    <t>TASK-067</t>
  </si>
  <si>
    <t>[Test] Unit test rule CTR-01..03</t>
  </si>
  <si>
    <t>US-CTR-13 – Rà soát pháp lý phụ lục hợp đồng
Phụ trách: Phong</t>
  </si>
  <si>
    <t>PB-44</t>
  </si>
  <si>
    <t>TASK-068</t>
  </si>
  <si>
    <t>Là một thành viên Ban Giám đốc có thẩm quyền, tôi muốn xem xét và quyết định phê duyệt phụ lục hợp đồng để bảo đảm các thay đổi được chấp thuận trước khi tiến hành ký kết.</t>
  </si>
  <si>
    <t>• Ban Giám đốc có thể xem phụ lục, hợp đồng gốc và kết quả rà soát của các bộ phận.
• Khi phê duyệt thành công, phụ lục chuyển sang Đã duyệt.
• Phụ lục Đã duyệt không được chỉnh sửa trực tiếp.
(+3 AC khác trong file user story)</t>
  </si>
  <si>
    <t>PB-50, PB-51</t>
  </si>
  <si>
    <t>[QL] Sprint Planning S2, cập nhật backlog, chốt API contract giữa các module</t>
  </si>
  <si>
    <t>US-CTR-14 – Phê duyệt phụ lục ở cấp Ban Giám đốc
Phụ trách: Phong</t>
  </si>
  <si>
    <t>PB-45</t>
  </si>
  <si>
    <t>TASK-069</t>
  </si>
  <si>
    <t>Là một Nhân viên Kinh doanh, tôi muốn lưu trữ hợp đồng đã ký và ghi nhận thời gian hiệu lực để các bộ phận liên quan có căn cứ thực hiện dịch vụ và thanh toán.</t>
  </si>
  <si>
    <t>• Sau khi xác nhận hoàn tất ký kết, nhân viên có thể lưu bản hợp đồng đã ký cùng tài liệu liên quan.
• Hợp đồng hoàn tất ký kết được ghi nhận trạng thái Đã ký (Signed).
• Hợp đồng chuyển sang Có hiệu lực (Effective) từ ngày hiệu lực đã xác định.
(+2 AC khác trong file user story)</t>
  </si>
  <si>
    <t>[Design] Cập nhật UI Figma cho chức năng Sprint 2 theo phản hồi demo MVP1</t>
  </si>
  <si>
    <t>US-CTR-08 – Lưu trữ và ghi nhận hiệu lực hợp đồng
Phụ trách: Phong</t>
  </si>
  <si>
    <t>PB-46</t>
  </si>
  <si>
    <t>Là một nhân viên thuộc bộ phận phụ trách hồ sơ, tôi muốn xử lý nhu cầu sửa hoặc rút hồ sơ đang chờ duyệt theo đúng quyền và giai đoạn cho phép, để hoàn thiện hồ sơ mà không thay đổi trái phép bản đang được xem xét.</t>
  </si>
  <si>
    <t>TASK-070</t>
  </si>
  <si>
    <t>• Không cho sửa trực tiếp bản đang duyệt chỉ vì người thực hiện là người đã lập hoặc đã trình hồ sơ.
• Với bảng giá, chỉ người đã trình được rút kèm lý do khi Trưởng phòng Kinh doanh chưa xử lý bước đầu; khi Trưởng phòng đã approve thì không được rút…
• Với bảng thanh toán, bộ phận Kế toán báo người duyệt hiện tại yêu cầu chỉnh sửa theo UC-PAY-03; nếu không còn cần thì thực hiện UC-PAY-07, không bổ…
(+3 AC khác trong file user story)</t>
  </si>
  <si>
    <t>[BE] API báo giá: lập (kiểm tra KH/HĐ/danh mục/thời gian), gửi, ghi nhận KH xác nhận</t>
  </si>
  <si>
    <t>US-APR-07 – Xử lý nhu cầu sửa hoặc rút hồ sơ đang chờ duyệt
Phụ trách: Lộc</t>
  </si>
  <si>
    <t>PB-47</t>
  </si>
  <si>
    <t>TASK-071</t>
  </si>
  <si>
    <t>Là một Nhân viên Kinh doanh phụ trách hồ sơ, tôi muốn rút hợp đồng hoặc phụ lục đã trình nhưng chưa được cấp duyệt bắt đầu xem xét để bổ sung, chỉnh sửa và trình lại.</t>
  </si>
  <si>
    <t>[FE] Màn hình báo giá</t>
  </si>
  <si>
    <t>• Nhân viên chỉ được yêu cầu rút hồ sơ do mình phụ trách.
• Chỉ hồ sơ ở trạng thái Đã trình và chưa được Trưởng phòng Kinh doanh bắt đầu rà soát mới đủ điều kiện rút.
• Nhân viên có thể ghi nhận lý do rút và gửi yêu cầu đến Trưởng phòng Kinh doanh.
(+4 AC khác trong file user story)</t>
  </si>
  <si>
    <t>US-CTR-17 – Rút hồ sơ đã trình nhưng chưa được rà soát
Phụ trách: Lộc</t>
  </si>
  <si>
    <t>TASK-072</t>
  </si>
  <si>
    <t>PB-77</t>
  </si>
  <si>
    <t>[QL] Code review MR, Sprint Review &amp; Retro S2</t>
  </si>
  <si>
    <t>PB-48</t>
  </si>
  <si>
    <t>Là một Nhân viên Kinh doanh, tôi muốn gửi đề nghị hủy hợp đồng hoặc phụ lục chưa ký để Trưởng phòng Kinh doanh xem xét và quyết định dừng xử lý hồ sơ.</t>
  </si>
  <si>
    <t>• Nhân viên có thể đề nghị hủy hồ sơ chưa ký đang ở trạng thái Đã trình, Đang rà soát, Yêu cầu chỉnh sửa hoặc Đã duyệt.
• Đề nghị phải ghi rõ bên đề nghị (Công ty ABC hoặc khách hàng) và lý do hủy.
• Trưởng phòng Kinh doanh có thể chấp thuận hoặc không chấp thuận đề nghị hủy. Nếu không chấp thuận thì phải ghi lý do.
(+5 AC khác trong file user story)</t>
  </si>
  <si>
    <t>TASK-073</t>
  </si>
  <si>
    <t>PB-33 – PB-36</t>
  </si>
  <si>
    <t>[Cùng Hiếu] API test người liên hệ &amp; phiên bản bảng giá</t>
  </si>
  <si>
    <t>TASK-074</t>
  </si>
  <si>
    <t>US-CTR-19 – Đề nghị hủy hồ sơ chưa ký
Phụ trách: Lộc</t>
  </si>
  <si>
    <t>PB-49</t>
  </si>
  <si>
    <t>[Cùng Lộc] Idempotency-Key middleware dùng chung + unique constraint lượt duyệt đang chạy</t>
  </si>
  <si>
    <t>Là một người có thẩm quyền phân công thay thế, tôi muốn chuyển nhiệm vụ duyệt đang chờ sang người đủ điều kiện khi người được giao vắng mặt, để hồ sơ tiếp tục được xử lý mà vẫn đúng trách nhiệm và thẩm quyền.</t>
  </si>
  <si>
    <t>TASK-075</t>
  </si>
  <si>
    <t>• Chỉ người được nhóm xác định và cấp thẩm quyền phân công thay thế mới được xác nhận chuyển giao; không mặc định người lập hồ sơ hoặc Quản trị hệ…
• Đề nghị phải xác định hồ sơ, lượt và bước đang chờ, người được giao ban đầu, người thay thế, lý do và phạm vi/thời hạn nếu áp dụng.
• Trước khi chuyển, kiểm tra người thay đủ điều kiện theo quy định áp dụng. Chưa đủ điều kiện hoặc chưa được chấp thuận thì giữ nguyên phân công và…
(+4 AC khác trong file user story)</t>
  </si>
  <si>
    <t>PB-52, PB-53</t>
  </si>
  <si>
    <t>[Cùng Đan Anh] Query kiểm tra chồng thời gian bảng giá (index, ràng buộc DB)</t>
  </si>
  <si>
    <t>TASK-076</t>
  </si>
  <si>
    <t>US-APR-08 – Chuyển người duyệt khi người được giao vắng mặt
Phụ trách: Lộc
US-APR-08 là phần mở rộng, cần chốt quy tắc ủy quyền với GV.</t>
  </si>
  <si>
    <t>PB-39 – PB-44</t>
  </si>
  <si>
    <t>[Cùng Phong] Cấu hình luồng duyệt phụ lục trên engine + review MR</t>
  </si>
  <si>
    <t>PB-50</t>
  </si>
  <si>
    <t>Bảng giá</t>
  </si>
  <si>
    <t>Là một Nhân viên Kinh doanh, tôi muốn lập báo giá cho khách hàng theo một phạm vi áp dụng và thời gian áp dụng rõ ràng, để thống nhất mức giá dịch vụ với khách hàng trước khi lập bảng giá.</t>
  </si>
  <si>
    <t>TASK-077</t>
  </si>
  <si>
    <t>• Nhân viên chỉ lập được báo giá khi khách hàng đang giao dịch (không bị tạm ngưng) và hợp đồng liên quan ở trạng thái Đã duyệt hoặc Có hiệu lực. Nếu…
• Báo giá phải xác định rõ phạm vi áp dụng: khách hàng, hợp đồng, nhóm dịch vụ hoặc loại dịch vụ. Chưa xác định phạm vi thì không được lập báo giá.
• Nếu cùng phạm vi, cùng dịch vụ đã có bảng giá Đã duyệt hoặc Đang áp dụng trùng thời gian, đây là thay đổi giá. Nhân viên chuyển sang tạo phiên bản…
(+6 AC khác trong file user story)</t>
  </si>
  <si>
    <t>PB-63 – PB-67</t>
  </si>
  <si>
    <t>[Cùng Tuấn] API kiểm tra quyền ghi nhận theo phân công khu vực + regression MVP1</t>
  </si>
  <si>
    <t>US-PRC-01 – Lập báo giá cho khách hàng
Phụ trách: Xuân</t>
  </si>
  <si>
    <t>PB-51</t>
  </si>
  <si>
    <t>TASK-078</t>
  </si>
  <si>
    <t>PB-72 – PB-76</t>
  </si>
  <si>
    <t>[Cùng Minh] Unit test khóa kỳ &amp; điều chỉnh sản lượng</t>
  </si>
  <si>
    <t>Là một Nhân viên Kinh doanh, tôi muốn ghi nhận phản hồi của khách hàng về báo giá, để chỉ lập bảng giá khi hai bên đã thống nhất mức giá.</t>
  </si>
  <si>
    <t>TASK-079</t>
  </si>
  <si>
    <t>• Nhân viên ghi nhận khách hàng đồng ý hay không đồng ý, kèm tài liệu xác nhận (email, văn bản có chữ ký…).
• Nếu khách hàng chưa đồng ý, nhân viên điều chỉnh báo giá và gửi lại. Mỗi lần điều chỉnh được lưu thành một phiên bản báo giá.
• Nếu hai bên không thống nhất, báo giá được đóng kèm lý do và không được dùng để lập bảng giá.
(+1 AC khác trong file user story)</t>
  </si>
  <si>
    <t>[DB+BE] Người liên hệ: thêm/sửa/ngưng, duy nhất 1 liên hệ chính</t>
  </si>
  <si>
    <t>TASK-080</t>
  </si>
  <si>
    <t>US-PRC-02 – Ghi nhận xác nhận báo giá của khách hàng
Phụ trách: Xuân</t>
  </si>
  <si>
    <t>[FE] Tab người liên hệ trong chi tiết khách hàng</t>
  </si>
  <si>
    <t>PB-52</t>
  </si>
  <si>
    <t>Là một Nhân viên Kinh doanh, tôi muốn lập bảng giá dự thảo từ báo giá đã thống nhất với khách hàng, để trình duyệt và làm căn cứ tính phí dịch vụ.</t>
  </si>
  <si>
    <t>TASK-081</t>
  </si>
  <si>
    <t>• Bảng giá dự thảo được lập từ báo giá đã được khách hàng xác nhận. Phạm vi, dịch vụ, đơn vị tính, đơn giá, thuế suất và thời gian áp dụng lấy theo báo…
• Bảng giá phải đính kèm báo giá và xác nhận của khách hàng làm căn cứ.
• Trong một bảng giá, mỗi loại dịch vụ chỉ có một đơn giá.
(+2 AC khác trong file user story)</t>
  </si>
  <si>
    <t>PB-68</t>
  </si>
  <si>
    <t>[BE+FE] Đổi mã số thuế có kiểm soát (CUS-03)</t>
  </si>
  <si>
    <t>TASK-082</t>
  </si>
  <si>
    <t>PB-59 – PB-62</t>
  </si>
  <si>
    <t>US-PRC-03 – Lập bảng giá dự thảo
Phụ trách: Đan Anh (cùng Xuân)</t>
  </si>
  <si>
    <t>[BE] Gửi bảng giá đã duyệt cho KH &amp; Kế toán (phát event thông báo)</t>
  </si>
  <si>
    <t>PB-53</t>
  </si>
  <si>
    <t>Là một Nhân viên Kinh doanh, tôi muốn chỉnh sửa bảng giá đang Dự thảo hoặc đã Bị từ chối, để khắc phục sai sót hoặc cập nhật theo ý kiến người duyệt hay khách hàng trước khi trình lại.</t>
  </si>
  <si>
    <t>• Bảng giá đang Chờ duyệt thì không được sửa. Nhân viên phải rút hồ sơ (US-PRC-06) hoặc chờ kết quả duyệt.
• Bảng giá Đã duyệt (kể cả chưa đến ngày áp dụng) hoặc Đang áp dụng thì không được sửa. Nhân viên phải tạo phiên bản mới (US-PRC-13).
• Bảng giá Bị thay thế hoặc Hết hiệu lực thì không được sửa. Nếu cần giá cho giai đoạn tiếp theo, nhân viên lập bảng giá mới (US-PRC-01).
(+7 AC khác trong file user story)</t>
  </si>
  <si>
    <t>TASK-083</t>
  </si>
  <si>
    <t>[BE] Approved → Effective theo ngày, hết valid-to → Expired (dùng job framework)</t>
  </si>
  <si>
    <t>US-PRC-04 – Chỉnh sửa bảng giá chưa được duyệt
Phụ trách: Đan Anh (cùng Xuân)</t>
  </si>
  <si>
    <t>PB-54</t>
  </si>
  <si>
    <t>TASK-084</t>
  </si>
  <si>
    <t>Là một Nhân viên Kinh doanh, tôi muốn trình bảng giá đã hoàn thiện kèm căn cứ, để người có thẩm quyền xem xét và phê duyệt theo đúng trình tự.</t>
  </si>
  <si>
    <t>[BE] Tạo phiên bản mới, xác định ngày bắt đầu, version cũ Superseded (PRC-04)</t>
  </si>
  <si>
    <t>• Chỉ trình được bảng giá Dự thảo, hoặc bảng giá Bị từ chối đã chỉnh sửa, có nội dung đã được khách hàng xác nhận.
• Trước khi trình, bảng giá phải đạt tất cả các điều kiện sau
• Hồ sơ trình kèm căn cứ: báo giá, xác nhận của khách hàng, phụ lục hợp đồng (nếu có).
(+4 AC khác trong file user story)</t>
  </si>
  <si>
    <t>TASK-085</t>
  </si>
  <si>
    <t>[FE] Lịch sử phiên bản bảng giá + tạo version mới</t>
  </si>
  <si>
    <t>US-PRC-05 – Trình duyệt bảng giá
Phụ trách: Đan Anh</t>
  </si>
  <si>
    <t>PB-55</t>
  </si>
  <si>
    <t>TASK-086</t>
  </si>
  <si>
    <t>PB-69 – PB-71</t>
  </si>
  <si>
    <t>Là một Nhân viên Kinh doanh, tôi muốn rút bảng giá đang chờ duyệt khi phát hiện cần điều chỉnh, để sửa lại trước khi người duyệt xử lý.</t>
  </si>
  <si>
    <t>[Design] Sequence diagram ghi nhận &amp; khóa kỳ sản lượng</t>
  </si>
  <si>
    <t>• Chỉ người đã trình mới được rút hồ sơ.
• Chỉ được rút khi Trưởng phòng Kinh doanh chưa xử lý bước duyệt đầu tiên.
• Khi Trưởng phòng Kinh doanh đã phê duyệt, không được rút hồ sơ.
(+3 AC khác trong file user story)</t>
  </si>
  <si>
    <t>TASK-087</t>
  </si>
  <si>
    <t>[DB] Bảng output_period, output_record, output_record_version</t>
  </si>
  <si>
    <t>US-PRC-06 – Rút bảng giá đang chờ duyệt
Phụ trách: Đan Anh</t>
  </si>
  <si>
    <t>PB-56</t>
  </si>
  <si>
    <t>Là một Trưởng phòng Kinh doanh, tôi muốn xem xét mức giá so với chính sách giá của công ty và phê duyệt hoặc từ chối bảng giá được giao cho tôi, để chỉ những mức giá phù hợp mới được trình Ban Giám đốc.</t>
  </si>
  <si>
    <t>TASK-088</t>
  </si>
  <si>
    <t>• Chỉ người được phân công ở bước hiện tại mới được phê duyệt hoặc từ chối. Người có cùng chức danh nhưng không được phân công thì không được thao tác.
• Người duyệt xem được đúng nội dung đã trình và đầy đủ tài liệu căn cứ.
• Với phiên bản mới, người duyệt xem được bảng giá gốc để đối chiếu mức thay đổi.
(+4 AC khác trong file user story)</t>
  </si>
  <si>
    <t>[BE] API ghi nhận sản lượng (kiểm tra phân công KV, dịch vụ thuộc KV, HĐ Active), snapshot KV</t>
  </si>
  <si>
    <t>TASK-089</t>
  </si>
  <si>
    <t>US-PRC-07 – Xem xét và phê duyệt bảng giá (Trưởng phòng Kinh doanh)
Phụ trách: Đan Anh</t>
  </si>
  <si>
    <t>PB-70</t>
  </si>
  <si>
    <t>[BE] Kiểm tra ngoại lệ (trùng chứng từ, số âm) + tiếp nhận sản lượng từ khu vực (OUT-02)</t>
  </si>
  <si>
    <t>PB-57</t>
  </si>
  <si>
    <t>Là thành viên Ban Giám đốc, tôi muốn phê duyệt bước cuối cùng của bảng giá, để bảng giá được gửi khách hàng và đưa vào áp dụng.</t>
  </si>
  <si>
    <t>• Ban Giám đốc chỉ xử lý được sau khi Trưởng phòng Kinh doanh đã phê duyệt. Không được bỏ qua bước.
• Chỉ người được phân công ở bước hiện tại mới được phê duyệt hoặc từ chối.
• Nếu ngày bắt đầu đã đến khi bảng giá được duyệt, bảng giá được đưa vào áp dụng ngay (US-PRC-11).
(+5 AC khác trong file user story)</t>
  </si>
  <si>
    <t>TASK-090</t>
  </si>
  <si>
    <t>[FE] Màn hình nhập sản lượng (lưới nhập nhiều dòng)</t>
  </si>
  <si>
    <t>US-PRC-08 – Phê duyệt bảng giá (Ban Giám đốc)
Phụ trách: Đan Anh</t>
  </si>
  <si>
    <t>PB-58</t>
  </si>
  <si>
    <t>TASK-091</t>
  </si>
  <si>
    <t>Là một Nhân viên Kinh doanh, tôi muốn theo dõi bảng giá mình đã trình đang ở bước nào và ai đang xử lý, để chủ động nhắc người duyệt và báo tiến độ cho khách hàng.</t>
  </si>
  <si>
    <t>[BE] Điều chỉnh trước khóa kỳ (lý do, version), tổng hợp kỳ, xác nhận khóa kỳ</t>
  </si>
  <si>
    <t>• Nhân viên xem được người đang xử lý, các bước đã hoàn thành và các bước còn lại.
• Với mỗi bước, nhân viên xem được người xử lý, thời điểm, kết quả và ý kiến.
• Nhân viên xem được lịch sử các lượt duyệt trước, kể cả lượt bị từ chối hoặc bị rút.
(+1 AC khác trong file user story)</t>
  </si>
  <si>
    <t>TASK-092</t>
  </si>
  <si>
    <t>[FE] Màn hình điều chỉnh, tổng hợp kỳ, khóa kỳ</t>
  </si>
  <si>
    <t>US-PRC-09 – Theo dõi tiến độ duyệt bảng giá
Phụ trách: Đan Anh</t>
  </si>
  <si>
    <t>PB-59</t>
  </si>
  <si>
    <t>Là một Nhân viên Kinh doanh, tôi muốn gửi chính thức bảng giá đã duyệt cho khách hàng và Phòng Kế toán, để hai bên biết mức giá và ngày bắt đầu áp dụng.</t>
  </si>
  <si>
    <t>TASK-093</t>
  </si>
  <si>
    <t>PB-76</t>
  </si>
  <si>
    <t>• Chỉ gửi bảng giá ở trạng thái Đã duyệt.
• Thông báo gửi khách hàng nêu rõ ngày bắt đầu áp dụng. Nếu bảng giá thay thế một bảng giá cũ, thông báo nêu rõ bảng giá cũ thôi áp dụng từ ngày đó.
• Nhân viên ghi nhận việc khách hàng xác nhận đã nhận bảng giá, gồm thời điểm và hình thức xác nhận.
(+2 AC khác trong file user story)</t>
  </si>
  <si>
    <t>[BE+FE] Tra cứu sản lượng theo quyền (OUT-13)</t>
  </si>
  <si>
    <t>TASK-094</t>
  </si>
  <si>
    <t>US-PRC-10 – Gửi bảng giá đã duyệt cho khách hàng và Phòng Kế toán
Phụ trách: Hiếu</t>
  </si>
  <si>
    <t>[Design] State + sequence diagram bảng giá</t>
  </si>
  <si>
    <t>PB-60</t>
  </si>
  <si>
    <t>Là một Nhân viên Kinh doanh, tôi muốn bảng giá đã duyệt có hiệu lực đúng ngày bắt đầu và bảng giá cũ được thay thế từ ngày đó, để tại mỗi thời điểm, cùng phạm vi và cùng dịch vụ chỉ áp dụng một mức giá.</t>
  </si>
  <si>
    <t>• Đến ngày bắt đầu, bảng giá chuyển từ Đã duyệt sang Đang áp dụng (Effective).
• Nếu bảng giá được duyệt khi ngày bắt đầu đã đến, bảng giá được áp dụng ngay.
• Khi phiên bản mới có hiệu lực, bảng giá gốc chuyển sang Bị thay thế (Superseded) từ ngày đó. Sản lượng phát sinh trước ngày này vẫn tính theo bảng…
(+5 AC khác trong file user story)</t>
  </si>
  <si>
    <t>US-PRC-11 – Đưa bảng giá vào áp dụng theo ngày hiệu lực
Phụ trách: Hiếu</t>
  </si>
  <si>
    <t>TASK-095</t>
  </si>
  <si>
    <t>PB-61</t>
  </si>
  <si>
    <t>[DB] Bảng price_list, price_list_item, price_list_version</t>
  </si>
  <si>
    <t>Là một Nhân viên Kinh doanh, tôi muốn thay đổi giá của bảng giá đã duyệt hoặc đang áp dụng bằng một phiên bản mới, để không sửa bảng giá cũ và các bảng thanh toán đã lập vẫn đối chiếu đúng đơn giá.</t>
  </si>
  <si>
    <t>• Nếu bảng giá được chọn đã Bị thay thế hoặc Hết hiệu lực, nhân viên chọn bảng giá mới nhất đang áp dụng hoặc đã duyệt cùng phạm vi, hoặc lập bảng giá…
• Phiên bản mới giữ nguyên phạm vi áp dụng. Nếu thay đổi phạm vi thì phải lập bảng giá mới (US-PRC-01).
• Phiên bản mới được trình duyệt như bảng giá mới (US-PRC-05 → US-PRC-08) và có hiệu lực theo US-PRC-11.
(+8 AC khác trong file user story)</t>
  </si>
  <si>
    <t>TASK-096</t>
  </si>
  <si>
    <t>[BE] Lập bảng giá Draft từ báo giá, sửa khi Draft/Rejected, kiểm tra chồng thời gian</t>
  </si>
  <si>
    <t>US-PRC-13 – Tạo phiên bản mới bảng giá
Phụ trách: Hiếu</t>
  </si>
  <si>
    <t>PB-62</t>
  </si>
  <si>
    <t>TASK-097</t>
  </si>
  <si>
    <t>Là một Nhân viên Kinh doanh, tôi muốn xác định ngày bắt đầu của phiên bản mới dựa trên các kỳ đã lập bảng thanh toán, để giá mới không làm thay đổi những kỳ đã tính phí.</t>
  </si>
  <si>
    <t>[FE] Màn hình bảng giá (danh sách, form dòng giá)</t>
  </si>
  <si>
    <t>• Nhân viên xem được kỳ tính phí gần nhất đã lập bảng thanh toán theo bảng giá gốc, do Phòng Kế toán cung cấp. Bảng thanh toán bị từ chối hoặc đã hủy…
• Ngày bắt đầu của phiên bản mới phải thỏa tất cả các điều kiện sau
• Nếu khách hàng muốn áp dụng giá mới cho kỳ đã tính phí, ngày bắt đầu không được lùi về kỳ đó. Đề nghị này được ghi nhận và chuyển cho Phòng Kế toán…</t>
  </si>
  <si>
    <t>TASK-098</t>
  </si>
  <si>
    <t>US-PRC-14 – Xác định ngày bắt đầu của phiên bản mới
Phụ trách: Hiếu</t>
  </si>
  <si>
    <t>PB-54 – PB-58</t>
  </si>
  <si>
    <t>[BE+FE] Tích hợp engine: trình, rút, cấu hình TP KD → BGĐ, chặn approve khi chồng thời gian</t>
  </si>
  <si>
    <t>PB-63</t>
  </si>
  <si>
    <t>Là một Trưởng phòng Khai thác, tôi muốn điều chuyển khu vực mặt bằng sang một khu vực cấp cha mới khi có sự tái quy hoạch bến bãi cảng, để cơ cấu tổ chức mặt bằng luôn khớp với thực tế mà không làm đứt gãy dữ liệu đã tham chiếu.</t>
  </si>
  <si>
    <t>• Chỉ Trưởng phòng Khai thác mới có thẩm quyền phê duyệt thay đổi cấu trúc phân cấp cha – con của khu vực.
• Tuyệt đối không cho phép chọn chính nó hoặc bất kỳ khu vực con/cháu nào thuộc nhánh trực thuộc làm khu vực cha mới, nhằm ngăn chặn hoàn toàn vòng lặp…
• Ghi nhận đầy đủ thông tin khu vực cha cũ, khu vực cha mới, người thực hiện, thời điểm và lý do điều chuyển vào nhật ký kiểm toán (ARE-11).
(+3 AC khác trong file user story)</t>
  </si>
  <si>
    <t>TASK-099</t>
  </si>
  <si>
    <t>[Test] Unit test PRC-01, 02, 03, 06</t>
  </si>
  <si>
    <t>US-ARE-05 – Điều chuyển vị trí phân cấp khu vực (Re-parenting)
Phụ trách: Tuấn</t>
  </si>
  <si>
    <t>TASK-100</t>
  </si>
  <si>
    <t>PB-64</t>
  </si>
  <si>
    <t>[BE] Notification Service: consumer event → bảng notification; API danh sách / đánh dấu đã đọc</t>
  </si>
  <si>
    <t>Là một Trưởng phòng Khai thác, tôi muốn tạm ngưng hoạt động một khu vực mặt bằng khi có sự cố kỹ thuật, nạo vét luồng tàu hoặc bảo trì nâng cấp, để ngăn chặn việc lập biểu giá mới, ký hợp đồng mới hoặc ghi nhận sản lượng phát sinh nhầm lẫn tại mặt bằng này.</t>
  </si>
  <si>
    <t>• Theo quy tắc ARE-06, nếu khu vực tạm ngưng có chứa các phân khu con đang Active, Trưởng phòng Khai thác quyết định: Tạm ngưng đồng bộ toàn bộ nhánh…
• Sau khi ghi nhận Suspended, khu vực không được phép chọn khi lập Bảng giá mới (US-PRC-01), tạo Hợp đồng mới (US-CTR-01) và ghi nhận Sản lượng mới…
• Việc tạm ngưng không tự hủy bảng giá đang hiệu lực, không tự chấm dứt hợp đồng đang chạy và không làm mất dữ liệu sản lượng đã ghi nhận trước thời…
(+7 AC khác trong file user story)</t>
  </si>
  <si>
    <t>TASK-101</t>
  </si>
  <si>
    <t>[FE] Chuông thông báo, badge chưa đọc, trang danh sách thông báo</t>
  </si>
  <si>
    <t>US-ARE-06 – Tạm ngưng hoạt động khu vực khai thác
Phụ trách: Tuấn</t>
  </si>
  <si>
    <t>PB-65</t>
  </si>
  <si>
    <t>TASK-102</t>
  </si>
  <si>
    <t>[Test] Test retry khi Notification lỗi không ảnh hưởng dữ liệu duyệt</t>
  </si>
  <si>
    <t>Là một Trưởng phòng Khai thác, tôi muốn kích hoạt lại khu vực đã tạm ngưng sau khi hoàn tất sửa chữa, bảo dưỡng mặt bằng, để đưa khu vực trở lại hoạt động thương mại bình thường.</t>
  </si>
  <si>
    <t>• Chỉ Trưởng phòng Khai thác mới có thẩm quyền kích hoạt lại khu vực từ trạng thái Suspended sang Active.
• Theo quy tắc ARE-06, nếu là khu vực con (cấp 2 hoặc 3), khu vực cấp cha trực tiếp của nó bắt buộc phải đang ở trạng thái Active. Nếu khu vực cha đang…
• Lưu lại trạng thái trước và sau, người thực hiện, thời điểm và lý do mở lại vào nhật ký kiểm toán (ARE-11).
(+4 AC khác trong file user story)</t>
  </si>
  <si>
    <t>TASK-103</t>
  </si>
  <si>
    <t>[Design] Sequence diagram vận hành khu vực</t>
  </si>
  <si>
    <t>US-ARE-07 – Kích hoạt lại khu vực đã tạm ngưng
Phụ trách: Tuấn</t>
  </si>
  <si>
    <t>PB-66</t>
  </si>
  <si>
    <t>Là một Trưởng phòng Khai thác, tôi muốn quy định danh mục các dịch vụ cảng biển được phép cung cấp tại từng khu vực, để đảm bảo việc lập biểu giá và ghi nhận sản lượng thực tế luôn tuân thủ đúng năng lực hạ tầng kỹ thuật của mặt bằng.</t>
  </si>
  <si>
    <t>TASK-104</t>
  </si>
  <si>
    <t>[BE] Điều chuyển cha–con (re-parenting) chặn vòng lặp, giữ tối đa 3 cấp</t>
  </si>
  <si>
    <t>• Theo quy tắc ARE-12, khi Nhân viên Kinh doanh lập bảng giá theo khu vực (US-PRC-01), chỉ được phép chọn các dịch vụ đã được phê duyệt cho khu vực đó.
• Theo quy tắc ARE-12, khi Nhân viên Khai thác ghi nhận sản lượng tại khu vực (US-OUT-01), danh mục dịch vụ phát sinh được giới hạn theo danh mục dịch…
• Mọi thao tác gán thêm hoặc gỡ bỏ dịch vụ tại khu vực đều được ghi nhận đầy đủ vào nhật ký theo dõi (ARE-11).
(+4 AC khác trong file user story)</t>
  </si>
  <si>
    <t>TASK-105</t>
  </si>
  <si>
    <t>US-ARE-08 – Gán danh mục dịch vụ được phép khai thác tại khu vực
Phụ trách: Tuấn</t>
  </si>
  <si>
    <t>[BE] Tạm ngưng KV (cascade/chặn KV con), kích hoạt lại; chặn KV Suspended cho HĐ/bảng giá/sản lượng mới</t>
  </si>
  <si>
    <t>PB-67</t>
  </si>
  <si>
    <t>Là một Trưởng phòng Khai thác, tôi muốn phân công nhân viên Khai thác phụ trách từng khu vực mặt bằng theo thời gian hiệu lực, để kiểm soát thẩm quyền tác nghiệp theo đúng địa bàn được giao (tuân thủ ARE-10 và Mục 5.5).</t>
  </si>
  <si>
    <t>TASK-106</t>
  </si>
  <si>
    <t>• Trưởng phòng Khai thác có thể phân công một hoặc nhiều nhân viên Khai thác vào một khu vực cụ thể.
• Theo quy tắc ARE-10 và ràng buộc nghiệp vụ Mục 5.5, khi nhân viên Khai thác thực hiện ghi nhận hoặc ký xác nhận phiếu sản lượng (US-OUT-01…
• Mọi thao tác phân công mới, điều chỉnh thời hạn hoặc thu hồi phân công nhân sự địa bàn đều được ghi nhận vào nhật ký theo dõi (ARE-11).
(+4 AC khác trong file user story)</t>
  </si>
  <si>
    <t>[BE] Gán danh mục dịch vụ được phép theo khu vực</t>
  </si>
  <si>
    <t>US-ARE-09 – Phân công nhân sự phụ trách địa bàn khai thác
Phụ trách: Tuấn</t>
  </si>
  <si>
    <t>TASK-107</t>
  </si>
  <si>
    <t>[BE] Phân công NV Khai thác theo KV (hiệu lực từ–đến)</t>
  </si>
  <si>
    <t>Là một người được giao quyền thay đổi mã số thuế của khách hàng, tôi muốn ghi nhận mã số thuế mới kèm lý do để cập nhật đúng hồ sơ và giữ được thông tin định danh trước khi thay đổi.</t>
  </si>
  <si>
    <t>• Người chỉ có quyền sửa thông tin thông thường không được thay đổi mã số thuế nếu chưa được giao quyền tương ứng.
• Người thực hiện phải cung cấp lý do thay đổi. Thiếu lý do thì không ghi nhận mã số thuế mới.
• Mã số thuế mới phải gồm 10 hoặc 13 chữ số theo quy tắc đang dùng trong Note và không trùng với khách hàng khác, kể cả khách hàng Suspended.
(+3 AC khác trong file user story)</t>
  </si>
  <si>
    <t>TASK-108</t>
  </si>
  <si>
    <t>Thấp</t>
  </si>
  <si>
    <t>[FE] Màn hình tạm ngưng/kích hoạt, gán dịch vụ, phân công nhân sự</t>
  </si>
  <si>
    <t>US-CUS-03 – Thay đổi mã số thuế có kiểm soát
Phụ trách: Hiếu</t>
  </si>
  <si>
    <t>PB-69</t>
  </si>
  <si>
    <t>TASK-109</t>
  </si>
  <si>
    <t>[Test] Unit test rule ARE</t>
  </si>
  <si>
    <t>Là một Nhân viên Khai thác, tôi muốn ghi nhận sản lượng dịch vụ thực tế phát sinh dựa trên chứng từ và nhật ký vận hành để quản lý chính xác khối lượng dịch vụ đã thực hiện theo khách hàng, hợp đồng và kỳ ghi nhận.</t>
  </si>
  <si>
    <t>• Nhân viên Khai thác có thể lựa chọn khách hàng, hợp đồng, loại dịch vụ và kỳ ghi nhận sản lượng thuộc phạm vi được phân quyền.
• Nhân viên có thể nhập thông tin sản lượng gồm loại dịch vụ, số lượng, đơn vị tính, thời điểm thực hiện và khu vực khai thác nếu có.
• Không cho phép ghi nhận trực tiếp sản lượng vào kỳ đã khóa. Nếu cần điều chỉnh, nhân viên phải thực hiện theo UC-OUT-04.
(+4 AC khác trong file user story)</t>
  </si>
  <si>
    <t>TASK-110</t>
  </si>
  <si>
    <t>[Test] Test case S2 + regression MVP1</t>
  </si>
  <si>
    <t>US-OUT-01 – Ghi nhận sản lượng thực tế từ chứng từ vận hành
Phụ trách: Minh</t>
  </si>
  <si>
    <t>TASK-111</t>
  </si>
  <si>
    <t>Là một Nhân viên Khai thác, tôi muốn tiếp nhận dữ liệu sản lượng đã được xác nhận tại khu vực theo UC-ARE-05 để sử dụng làm nguồn ghi nhận sản lượng mà không phải nhập và đối soát lại cùng một dữ liệu.</t>
  </si>
  <si>
    <t>[Test] Seed dữ liệu &amp; kịch bản demo MVP2</t>
  </si>
  <si>
    <t>• Nhân viên có thể xem và lựa chọn dữ liệu sản lượng khu vực đã được xác nhận theo UC-ARE-05, thuộc phạm vi được phép xử lý.
• Khi tiếp nhận, dữ liệu OUT được liên kết với bản ghi nguồn ARE-05 để phục vụ đối chiếu và truy vết.
• Đối với dữ liệu đã được khách hàng xác nhận theo UC-ARE-05, nhân viên không phải thực hiện lại việc xác nhận cùng nội dung nếu không phát sinh sai…
(+3 AC khác trong file user story)</t>
  </si>
  <si>
    <t>TASK-112</t>
  </si>
  <si>
    <t>[Design] Sequence diagram luồng event / Outbox / Notification</t>
  </si>
  <si>
    <t>US-OUT-02 – Tiếp nhận sản lượng đã xác nhận từ khu vực khai thác
Phụ trách: Minh</t>
  </si>
  <si>
    <t>PB-71</t>
  </si>
  <si>
    <t>Là một Nhân viên Khai thác, tôi muốn kiểm tra và xử lý các trường hợp dữ liệu sản lượng thiếu, sai lệch hoặc chưa đáp ứng điều kiện nghiệp vụ để bảo đảm chỉ dữ liệu hợp lệ mới được xác nhận làm căn cứ khóa kỳ.</t>
  </si>
  <si>
    <t>TASK-113</t>
  </si>
  <si>
    <t>[DB+BE] Bảng outbox + ghi event trong transaction + background worker retry/backoff</t>
  </si>
  <si>
    <t>• Khi dữ liệu thiếu thông tin bắt buộc hoặc chứng từ chưa hợp lệ, hệ thống không cho phép xác nhận hoàn tất và chỉ rõ nội dung cần bổ sung.
• Khi phát hiện bản ghi có cùng nguồn dữ liệu đã tồn tại, hệ thống cảnh báo và không cho phép ghi nhận trùng.
• Khi kỳ sản lượng đã khóa, các sai lệch phát hiện sau khóa không được xử lý bằng cách sửa trực tiếp mà phải chuyển sang quy trình mở khóa đặc biệt…
(+3 AC khác trong file user story)</t>
  </si>
  <si>
    <t>TASK-114</t>
  </si>
  <si>
    <t>PB-46, PB-47</t>
  </si>
  <si>
    <t>[BE] Rút hồ sơ khi bước đầu chưa xử lý (APR-07, CTR-17)</t>
  </si>
  <si>
    <t>US-OUT-03 – Kiểm tra và xử lý ngoại lệ khi ghi nhận sản lượng
Phụ trách: Minh</t>
  </si>
  <si>
    <t>PB-72</t>
  </si>
  <si>
    <t>Là một Nhân viên Khai thác được phân quyền, tôi muốn điều chỉnh các bản ghi sản lượng bị sai lệch khi kỳ chưa khóa để bảo đảm dữ liệu phản ánh đúng hoạt động thực tế trước khi trình khóa kỳ.</t>
  </si>
  <si>
    <t>TASK-115</t>
  </si>
  <si>
    <t>• Nhân viên chỉ được điều chỉnh dữ liệu sản lượng thuộc phạm vi được phân quyền và có kỳ đang mở hoặc đã được mở khóa hợp lệ.
• Nhân viên có thể xem nội dung bản ghi hiện tại và các chứng từ liên quan trước khi điều chỉnh.
• Nếu kỳ đã khóa và chưa được phê duyệt mở khóa theo UC-OUT-04, hệ thống không cho phép sửa dữ liệu.
(+4 AC khác trong file user story)</t>
  </si>
  <si>
    <t>[BE] Đề nghị hủy hồ sơ chưa ký qua phê duyệt (CTR-19)</t>
  </si>
  <si>
    <t>TASK-116</t>
  </si>
  <si>
    <t>US-OUT-04 – Điều chỉnh dữ liệu sản lượng khi chưa khóa kỳ
Phụ trách: Minh</t>
  </si>
  <si>
    <t>PB-46 – PB-48</t>
  </si>
  <si>
    <t>[FE] Nút rút / đề nghị hủy + hiển thị nhiều lượt trình</t>
  </si>
  <si>
    <t>PB-73</t>
  </si>
  <si>
    <t>Là một Nhân viên Khai thác, tôi muốn kiểm tra lại dữ liệu đã điều chỉnh và lưu lịch sử thay đổi để bảo đảm số liệu mới có căn cứ xác nhận, không làm mất dữ liệu cũ và có thể truy vết khi cần đối soát.</t>
  </si>
  <si>
    <t>TASK-117</t>
  </si>
  <si>
    <t>• Sau khi điều chỉnh, nhân viên có thể đối chiếu số liệu mới với chứng từ gốc và các thông tin xác nhận liên quan.
• Nếu điều chỉnh dữ liệu có nguồn từ UC-ARE-05 và làm thay đổi nội dung đã xác nhận tại khu vực, việc cập nhật phải dựa trên dữ liệu nguồn đã được đối…
• Đối với điều chỉnh sau khi mở khóa đặc biệt, lịch sử thay đổi phải được liên kết với hồ sơ mở khóa đã được phê duyệt theo UC-OUT-04.
(+3 AC khác trong file user story)</t>
  </si>
  <si>
    <t>[BE] Chuyển người duyệt: đề nghị, kiểm tra điều kiện, cập nhật assignee, lưu lịch sử</t>
  </si>
  <si>
    <t>US-OUT-05 – Xác nhận và truy vết dữ liệu sau điều chỉnh
Phụ trách: Minh</t>
  </si>
  <si>
    <t>TASK-118</t>
  </si>
  <si>
    <t>PB-74</t>
  </si>
  <si>
    <t>[FE] Màn hình chuyển người duyệt</t>
  </si>
  <si>
    <t>Là một Nhân viên Khai thác, tôi muốn tổng hợp và kiểm tra các dữ liệu sản lượng đã được ghi nhận trong kỳ để lập bảng tổng hợp đầy đủ, chính xác trước khi trình Trưởng phòng Khai thác xác nhận khóa kỳ.</t>
  </si>
  <si>
    <t>TASK-119</t>
  </si>
  <si>
    <t>• Nhân viên có thể lựa chọn kỳ cần khóa và xem các bản ghi sản lượng thuộc khách hàng, hợp đồng và khoảng thời gian tương ứng.
• Hệ thống hỗ trợ tổng hợp số lượng thực hiện theo từng loại dịch vụ, đơn vị tính, khách hàng, hợp đồng và khu vực nếu có.
• Khi phát hiện dữ liệu trùng hoặc sai lệch, nhân viên có thể thực hiện UC-OUT-02 để điều chỉnh trước khi tiếp tục trình khóa kỳ.
(+3 AC khác trong file user story)</t>
  </si>
  <si>
    <t>[Test] Test song song: race approve, double submit</t>
  </si>
  <si>
    <t>US-OUT-06 – Tổng hợp và chuẩn bị dữ liệu sản lượng để khóa kỳ
Phụ trách: Minh</t>
  </si>
  <si>
    <t>TASK-120</t>
  </si>
  <si>
    <t>PB-96 – PB-102</t>
  </si>
  <si>
    <t>PB-75</t>
  </si>
  <si>
    <t>[Design] (Chuẩn bị S3) Thiết kế E-Sign Mock Service: API, webhook, state phiên ký</t>
  </si>
  <si>
    <t>Là một Trưởng phòng Khai thác, tôi muốn kiểm tra và quyết định khóa kỳ sản lượng đã được tổng hợp để bảo đảm dữ liệu thực tế được chốt đúng thẩm quyền và không bị chỉnh sửa tùy tiện sau khi khóa.</t>
  </si>
  <si>
    <t>• Trưởng phòng Khai thác có thể xem bảng tổng hợp sản lượng, trạng thái xác nhận, dữ liệu nguồn và các điều chỉnh đã thực hiện trong kỳ.
• Chỉ Trưởng phòng Khai thác có thẩm quyền được phép xác nhận khóa kỳ sản lượng.
• Chỉ cho phép khóa kỳ khi các dữ liệu thuộc phạm vi khóa đã được kiểm tra, xác nhận hợp lệ và không còn sai lệch chưa giải quyết.
(+5 AC khác trong file user story)</t>
  </si>
  <si>
    <t>TASK-121</t>
  </si>
  <si>
    <t>[Design] Sequence diagram phụ lục hợp đồng</t>
  </si>
  <si>
    <t>US-OUT-07 – Xem xét và xác nhận khóa kỳ sản lượng
Phụ trách: Minh</t>
  </si>
  <si>
    <t>TASK-122</t>
  </si>
  <si>
    <t>[DB] Bảng contract_appendix + appendix_item (thay đổi đơn giá/thời hạn/điều khoản/dịch vụ)</t>
  </si>
  <si>
    <t>Là một người dùng được phân quyền truy cập dữ liệu sản lượng, tôi muốn tra cứu danh sách và thông tin chi tiết các bản ghi sản lượng thuộc phạm vi được phép để theo dõi hoạt động thực hiện dịch vụ và phục vụ công tác đối soát, quản lý.</t>
  </si>
  <si>
    <t>• Nhân viên Khai thác được xem dữ liệu sản lượng thuộc phạm vi được phân công hoặc được cấp quyền tra cứu.
• Trưởng phòng Khai thác được xem dữ liệu sản lượng thuộc phạm vi phòng ban mình quản lý.
• Nhân viên Kế toán và các phòng ban liên quan chỉ được xem dữ liệu sản lượng theo phạm vi quyền hạn được cấp.
(+5 AC khác trong file user story)</t>
  </si>
  <si>
    <t>TASK-123</t>
  </si>
  <si>
    <t>[BE] API tạo/sửa phụ lục (chỉ cho HĐ Approved/Active – CTR-07)</t>
  </si>
  <si>
    <t>US-OUT-13 – Tra cứu danh sách và thông tin sản lượng theo quyền hạn
Phụ trách: Minh</t>
  </si>
  <si>
    <t>TASK-124</t>
  </si>
  <si>
    <t>[BE] Trình duyệt phụ lục qua engine (có bước xác nhận chuyên môn)</t>
  </si>
  <si>
    <t>MVP2 chạy được end-to-end và demo được.</t>
  </si>
  <si>
    <t>Regression MVP1 pass; test case PRC-01..06, sản lượng, thông báo pass; kịch bản demo MVP2.</t>
  </si>
  <si>
    <t>TASK-125</t>
  </si>
  <si>
    <t>[FE] Màn hình danh sách/tạo/sửa phụ lục trong chi tiết HĐ</t>
  </si>
  <si>
    <t>Hạng mục nền tảng; Phụ trách: Tuấn</t>
  </si>
  <si>
    <t>PB-78</t>
  </si>
  <si>
    <t>Tra cứu</t>
  </si>
  <si>
    <t>TASK-126</t>
  </si>
  <si>
    <t>Là một Nhân sự Pháp chế, tôi muốn tra cứu hợp đồng và phụ lục của đúng khách hàng để rà soát hiệu lực và các điều khoản liên quan trong phạm vi nhiệm vụ.</t>
  </si>
  <si>
    <t>[FE] Màn hình duyệt phụ lục (tái dùng component duyệt)</t>
  </si>
  <si>
    <t>• Nhân sự Pháp chế tìm được khách hàng theo thông tin nhận diện và chỉ mở được hồ sơ trong phạm vi được giao.
• Danh sách hợp đồng thể hiện số hoặc mã hợp đồng, khách hàng, thời gian hiệu lực và trạng thái. Có thể lọc theo khoảng thời gian và trạng thái.
• Từ hợp đồng được chọn, người thực hiện xem được các phụ lục gắn với hợp đồng đó và thông tin hiệu lực của từng phụ lục.
(+5 AC khác trong file user story)</t>
  </si>
  <si>
    <t>US-CUS-08 – Tra cứu hợp đồng và phụ lục của khách hàng
Phụ trách: Hiếu</t>
  </si>
  <si>
    <t>TASK-127</t>
  </si>
  <si>
    <t>PB-79</t>
  </si>
  <si>
    <t>Là một Nhân viên Kế toán, tôi muốn tra cứu bảng giá của khách hàng theo dịch vụ, phạm vi và thời điểm áp dụng để đối chiếu đúng đơn giá của công việc cần kiểm tra.</t>
  </si>
  <si>
    <t>[BE+FE] Lưu trữ HĐ đã duyệt, hiển thị hiệu lực, chặn xóa HĐ Active (CTR-06)</t>
  </si>
  <si>
    <t>• Kế toán xác định được khách hàng, hợp đồng liên quan, dịch vụ và thời điểm cần tra cứu trong phạm vi được phép.
• Hiển thị được bảng giá gắn trực tiếp với khách hàng và bảng giá gắn với hợp đồng của khách hàng đó.
• Mỗi bảng giá thể hiện mã, phiên bản, phạm vi, thời gian áp dụng và trạng thái. Có thể xem đơn giá và thuế suất của dịch vụ được phép truy cập.
(+5 AC khác trong file user story)</t>
  </si>
  <si>
    <t>US-CUS-09 – Tra cứu đúng bảng giá theo thời điểm áp dụng
Phụ trách: Hiếu</t>
  </si>
  <si>
    <t>TASK-128</t>
  </si>
  <si>
    <t>PB-80</t>
  </si>
  <si>
    <t>[BE] Job framework (Hangfire/Quartz) + job HĐ Approved→Active, Active→Expired</t>
  </si>
  <si>
    <t>Là nhân viên Kinh doanh hoặc Kế toán, tôi muốn tra cứu bảng giá theo khách hàng, hợp đồng, dịch vụ và xem lịch sử phiên bản cũng như lịch sử thay đổi, để đối chiếu đúng đơn giá đã áp dụng tại bất kỳ thời điểm nào.</t>
  </si>
  <si>
    <t>• Tra cứu được bảng giá theo khách hàng, hợp đồng, nhóm dịch vụ, loại dịch vụ, trạng thái và thời gian áp dụng.
• Xem được chuỗi phiên bản của một bảng giá, từ bảng giá gốc đến các phiên bản sau, gồm ngày hiệu lực và trạng thái của từng phiên bản.
• Tra cứu được đơn giá áp dụng cho một dịch vụ tại một ngày cụ thể.
(+3 AC khác trong file user story)</t>
  </si>
  <si>
    <t>US-PRC-17 – Tra cứu bảng giá và lịch sử phiên bản
Phụ trách: Hiếu</t>
  </si>
  <si>
    <t>TASK-129</t>
  </si>
  <si>
    <t>PB-81</t>
  </si>
  <si>
    <t>Bảng thanh toán</t>
  </si>
  <si>
    <t>[BE] Job nhắc HĐ &amp; bảng giá sắp hết hạn (trước 30 ngày)</t>
  </si>
  <si>
    <t>Là một Nhân viên Phòng Kế toán, tôi muốn lập bảng thanh toán cho một khách hàng trong một kỳ tính phí từ hợp đồng, bảng giá và sản lượng đã khóa, để tính đúng phí dịch vụ phải thu của kỳ đó.</t>
  </si>
  <si>
    <t>• Chỉ lập bảng khi hợp đồng của khách hàng ở trạng thái Có hiệu lực (Active) trong kỳ và có bảng giá Có hiệu lực (Effective) áp dụng cho hợp đồng trong…
• Chỉ lập bảng khi sản lượng của kỳ đã được Phòng Khai thác xác nhận và khóa kỳ (PAY-02). Nếu chưa khóa, đề nghị Phòng Khai thác hoàn tất xác nhận và…
• Đơn giá áp dụng được ghi trên bảng tại thời điểm tính phí; bảng giá có phiên bản mới không làm thay đổi số liệu của bảng đã lập (PAY-03).
(+6 AC khác trong file user story)</t>
  </si>
  <si>
    <t>TASK-130</t>
  </si>
  <si>
    <t>US-PAY-01 – Lập bảng thanh toán
Phụ trách: Đan Anh</t>
  </si>
  <si>
    <t>[Test] Test phụ lục + regression hợp đồng</t>
  </si>
  <si>
    <t>PB-82</t>
  </si>
  <si>
    <t>Là một nhân viên Kế toán, tôi muốn tiếp nhận dữ liệu sản lượng đã được Phòng Khai thác xác nhận và khóa kỳ để sử dụng làm căn cứ lập bảng thanh toán dịch vụ theo đúng kỳ tính phí.</t>
  </si>
  <si>
    <t>• Sau khi kỳ sản lượng được khóa thành công, Phòng Kế toán có thể tiếp nhận thông tin kỳ và phiên bản sản lượng đã khóa.
• Kế toán có thể xem số lượng thực hiện theo khách hàng, hợp đồng, dịch vụ, đơn vị tính và kỳ, trong phạm vi được phân quyền.
• Dữ liệu sản lượng được sử dụng để lập bảng thanh toán phải thuộc kỳ tương ứng và đã được xác nhận khóa kỳ.
(+3 AC khác trong file user story)</t>
  </si>
  <si>
    <t>TASK-131</t>
  </si>
  <si>
    <t>US-OUT-08 – Tiếp nhận dữ liệu sản lượng đã khóa để lập thanh toán
Phụ trách: Đan Anh</t>
  </si>
  <si>
    <t>PB-136</t>
  </si>
  <si>
    <t>[QL] Sprint Planning S3, chốt phạm vi release</t>
  </si>
  <si>
    <t>PB-83</t>
  </si>
  <si>
    <t>Là một nhân viên Kế toán, tôi muốn xác định đúng bảng giá và đơn giá áp dụng cho từng sản lượng theo ngày phát sinh, để tính phí chính xác khi lập bảng thanh toán.</t>
  </si>
  <si>
    <t>• Với mỗi sản lượng, đơn giá lấy từ bảng giá cùng phạm vi, cùng dịch vụ, có thời gian áp dụng chứa ngày phát sinh sản lượng.
• Nếu trong một kỳ tính phí có phiên bản mới có hiệu lực, sản lượng được tính theo hai mức giá chia theo ngày hiệu lực.
• Bảng giá chưa được đưa vào áp dụng (US-PRC-11, AC-05) thì không được dùng để tính phí.
(+4 AC khác trong file user story)</t>
  </si>
  <si>
    <t>TASK-132</t>
  </si>
  <si>
    <t>[Design] Cập nhật UI Figma cho chức năng Sprint 3 theo phản hồi demo MVP2</t>
  </si>
  <si>
    <t>US-PRC-12 – Áp dụng đơn giá khi lập bảng thanh toán
Phụ trách: Đan Anh</t>
  </si>
  <si>
    <t>PB-84</t>
  </si>
  <si>
    <t>Là một Nhân viên Phòng Khai thác, tôi muốn đối chiếu sản lượng tính phí trên bảng thanh toán với dữ liệu vận hành thực tế, để khách hàng chỉ bị tính phí theo đúng sản lượng đã thực hiện.</t>
  </si>
  <si>
    <t>• Phòng Khai thác nhận từ Phòng Kế toán danh sách dòng dịch vụ và sản lượng tính phí của bảng thanh toán ở trạng thái Đã tính tiền.
• Sản lượng tính phí của từng dòng dịch vụ được đối chiếu với dữ liệu vận hành thực tế của kỳ.
• Nếu sản lượng sai lệch, nhân viên ghi chú sai lệch; bảng thanh toán được chuyển sang chỉnh sửa (US-PAY-14).
(+1 AC khác trong file user story)</t>
  </si>
  <si>
    <t>TASK-133</t>
  </si>
  <si>
    <t>US-PAY-02 – Xác nhận sản lượng khi đối soát
Phụ trách: Đan Anh</t>
  </si>
  <si>
    <t>PB-135</t>
  </si>
  <si>
    <t>[BE+FE] AI Agent trợ lý tra cứu hồ sơ (chỉ đọc, gọi API theo quyền người dùng)</t>
  </si>
  <si>
    <t>PB-85</t>
  </si>
  <si>
    <t>Là một Nhân viên Phòng Kế toán, tôi muốn đối chiếu đơn giá và lấy xác nhận số liệu của khách hàng, để chỉ trình duyệt bảng thanh toán đã được các bên thống nhất.</t>
  </si>
  <si>
    <t>• Chỉ đối soát bảng thanh toán ở trạng thái Đã tính tiền và sau khi Phòng Khai thác đã xác nhận sản lượng (US-PAY-02).
• Đơn giá trên bảng phải khớp với bảng giá có hiệu lực của kỳ. Nếu không khớp, bảng được chuyển sang chỉnh sửa (US-PAY-14).
• Nếu khách hàng chưa đồng ý số liệu, nhân viên ghi nhận chênh lệch và chuyển bảng sang chỉnh sửa (US-PAY-14).
(+3 AC khác trong file user story)</t>
  </si>
  <si>
    <t>TASK-134</t>
  </si>
  <si>
    <t>US-PAY-03 – Đối soát đơn giá và số liệu với khách hàng
Phụ trách: Đan Anh</t>
  </si>
  <si>
    <t>[Hạ tầng] Deploy bản release, CI chạy test tự động trước khi merge</t>
  </si>
  <si>
    <t>PB-86</t>
  </si>
  <si>
    <t>Là một Nhân viên Phòng Kế toán, tôi muốn sửa trực tiếp bảng thanh toán chưa được duyệt khi có sai sót hoặc bị trả về, để số liệu đúng trước khi trình duyệt lại.</t>
  </si>
  <si>
    <t>• Nếu bảng đang chờ duyệt, nhân viên không sửa mà báo người duyệt ở bước hiện tại yêu cầu chỉnh sửa. Nếu bảng đã duyệt trở đi, nhân viên lập yêu cầu…
• Được sửa sản lượng tính phí, thêm hoặc bớt dòng dịch vụ. Không tự sửa đơn giá đã ghi trên bảng; nếu đơn giá sai thì lấy lại từ bảng giá có hiệu lực…
• Nếu sửa sản lượng tính phí, Phòng Khai thác phải xác nhận lại sản lượng mới (US-PAY-15).
(+4 AC khác trong file user story)</t>
  </si>
  <si>
    <t>TASK-135</t>
  </si>
  <si>
    <t>US-PAY-14 – Chỉnh sửa bảng thanh toán
Phụ trách: Đan Anh</t>
  </si>
  <si>
    <t>[QL] Code review, demo cuối kỳ, Retro</t>
  </si>
  <si>
    <t>PB-87</t>
  </si>
  <si>
    <t>Là một Nhân viên Phòng Khai thác, tôi muốn xác nhận lại sản lượng tính phí khi Phòng Kế toán sửa sản lượng trên bảng thanh toán, để sản lượng mới vẫn khớp với dữ liệu vận hành.</t>
  </si>
  <si>
    <t>• Chỉ áp dụng khi Phòng Kế toán sửa sản lượng tính phí trên bảng chưa được duyệt (US-PAY-14).
• Sản lượng mới được đối chiếu với dữ liệu vận hành thực tế trước khi xác nhận.
• Nếu sản lượng của kỳ đã khóa, việc sửa cần người có thẩm quyền đặc biệt cho phép (mục 4.5).</t>
  </si>
  <si>
    <t>US-PAY-15 – Xác nhận lại sản lượng khi chỉnh sửa
Phụ trách: Đan Anh</t>
  </si>
  <si>
    <t>PB-88</t>
  </si>
  <si>
    <t>Là một Nhân viên Phòng Kế toán, tôi muốn trình duyệt bảng thanh toán đã đối soát theo quy trình phê duyệt đã quy định, để bảng được duyệt trước khi gửi ký.</t>
  </si>
  <si>
    <t>• Chỉ trình duyệt bảng ở trạng thái Đã đối soát, có tổng tiền không âm và đủ các dòng dịch vụ bắt buộc (PAY-04).
• Mỗi lần trình chỉ lập một hồ sơ trình duyệt; bảng chuyển sang trạng thái Trình duyệt (Submitted).
• Trong khi bảng đang chờ duyệt, Phòng Kế toán không tự sửa bảng. Nếu phát hiện sai sót, nhân viên báo người được giao ở bước hiện tại để yêu cầu chỉnh…
(+1 AC khác trong file user story)</t>
  </si>
  <si>
    <t>TASK-136</t>
  </si>
  <si>
    <t>US-PAY-04 – Trình duyệt bảng thanh toán
Phụ trách: Minh</t>
  </si>
  <si>
    <t>PB-91 – PB-95</t>
  </si>
  <si>
    <t>[Cùng Hiếu] Nghiệm thu điều chỉnh/hủy bảng TT &amp; các màn tra cứu</t>
  </si>
  <si>
    <t>PB-89</t>
  </si>
  <si>
    <t>Là người được giao duyệt (Phòng Kế toán ở bước đầu, Ban Giám đốc ở bước cuối), tôi muốn xem xét số liệu và cho ý kiến duyệt, yêu cầu chỉnh sửa hoặc từ chối, để chỉ bảng thanh toán đúng số liệu mới được chuyển sang ký.</t>
  </si>
  <si>
    <t>• Chỉ người được giao ở bước hiện tại mới được cho ý kiến duyệt, kể cả khi người khác có cùng vai trò (APR-01).
• Không được bỏ qua bước hoặc duyệt lại bước đã hoàn thành (APR-02).
• Yêu cầu chỉnh sửa hoặc từ chối phải có lý do. Nếu thiếu lý do, ý kiến không được chấp nhận và bước duyệt giữ nguyên (APR-03).
(+4 AC khác trong file user story)</t>
  </si>
  <si>
    <t>TASK-137</t>
  </si>
  <si>
    <t>PB-119 – PB-123</t>
  </si>
  <si>
    <t>US-PAY-05 – Duyệt bảng thanh toán
Phụ trách: Minh</t>
  </si>
  <si>
    <t>[Cùng Minh] Nghiệm thu mở khóa kỳ, duyệt &amp; phát hành bảng TT</t>
  </si>
  <si>
    <t>PB-90</t>
  </si>
  <si>
    <t>Là một thành viên Ban Giám đốc, tôi muốn xác nhận hoàn tất phê duyệt bảng thanh toán, để bảng được chuyển sang bước ký và mọi lần duyệt đều truy vết được.</t>
  </si>
  <si>
    <t>• Chỉ xác nhận hoàn tất khi tất cả các bước duyệt đã được duyệt.
• Khi hoàn tất, bảng chuyển sang trạng thái Đã duyệt (Approved).
• Phòng Kế toán thông báo kết quả duyệt cho khách hàng và chuyển bảng sang bước ký điện tử (US-PAY-07).
(+1 AC khác trong file user story)</t>
  </si>
  <si>
    <t>TASK-138</t>
  </si>
  <si>
    <t>US-PAY-06 – Hoàn tất phê duyệt
Phụ trách: Minh</t>
  </si>
  <si>
    <t>PB-81 – PB-83</t>
  </si>
  <si>
    <t>[Cùng Đan Anh] Nghiệm thu công thức tính tiền &amp; snapshot đơn giá (PAY-01..04)</t>
  </si>
  <si>
    <t>PB-91</t>
  </si>
  <si>
    <t>Là một Nhân viên Phòng Kế toán, tôi muốn phát hành bảng thanh toán đã ký đủ, để bảng trở thành chứng từ chính thức và không bị sửa trực tiếp.</t>
  </si>
  <si>
    <t>• Chỉ phát hành bảng ở trạng thái Ký hoàn tất.
• Nếu phát hiện sai sót trước khi phát hành, nhân viên lập yêu cầu chỉnh sửa (US-PAY-10); nếu bảng không còn cần thì hủy bảng (US-PAY-12).
• Sau khi phát hành, bảng được chốt và không được sửa trực tiếp; sai lệch phát hiện sau đó phải xử lý bằng hồ sơ điều chỉnh (PAY-05, US-PAY-10).
(+3 AC khác trong file user story)</t>
  </si>
  <si>
    <t>TASK-139</t>
  </si>
  <si>
    <t>[Cùng Tuấn] Chạy kịch bản E2E toàn trình trước demo</t>
  </si>
  <si>
    <t>US-PAY-09 – Phát hành bảng thanh toán
Phụ trách: Hiếu (điều chỉnh, hủy), Minh (phát hành)</t>
  </si>
  <si>
    <t>PB-92</t>
  </si>
  <si>
    <t>Là một Nhân viên Phòng Kế toán, tôi muốn lập yêu cầu chỉnh sửa cho bảng thanh toán đã duyệt có sai sót, để sửa sai bằng một bảng điều chỉnh mà vẫn giữ nguyên bảng gốc để truy vết.</t>
  </si>
  <si>
    <t>• Chỉ áp dụng cho bảng ở trạng thái Đã duyệt, Đang ký, Ký hoàn tất hoặc Phát hành. Bảng chưa được duyệt thì chỉnh sửa trực tiếp (US-PAY-14).
• Yêu cầu chỉ được xử lý sau khi Ban Giám đốc duyệt (US-PAY-11).
• Nếu bảng gốc đang ký, nhân viên đề nghị nhà cung cấp dịch vụ ký điện tử hủy phiên ký trước khi hủy bảng gốc. Nếu dịch vụ tạm thời không xử lý được…
(+4 AC khác trong file user story)</t>
  </si>
  <si>
    <t>TASK-140</t>
  </si>
  <si>
    <t>PB-103 – PB-106</t>
  </si>
  <si>
    <t>[Cùng Lộc] Nghiệm thu ký điện tử: callback lặp, mock service down</t>
  </si>
  <si>
    <t>US-PAY-10 – Lập yêu cầu chỉnh sửa
Phụ trách: Hiếu (điều chỉnh, hủy), Minh (phát hành)</t>
  </si>
  <si>
    <t>PB-93</t>
  </si>
  <si>
    <t>Là một thành viên Ban Giám đốc, tôi muốn xem xét và duyệt yêu cầu chỉnh sửa bảng thanh toán đã duyệt, để việc thay thế hoặc điều chỉnh bảng gốc luôn có sự đồng ý của Ban Giám đốc.</t>
  </si>
  <si>
    <t>• Ban Giám đốc xem được sai sót, nguồn phát hiện và lý do điều chỉnh của yêu cầu.
• Nếu duyệt, Phòng Kế toán xử lý bảng gốc và lập bảng điều chỉnh (US-PAY-10).
• Nếu không duyệt, bảng gốc giữ nguyên trạng thái và tiếp tục quy trình đang dở.</t>
  </si>
  <si>
    <t>TASK-141</t>
  </si>
  <si>
    <t>PB-111 – PB-115</t>
  </si>
  <si>
    <t>[Cùng Phong] Nghiệm thu CTR-05..07 &amp; luồng chấm dứt</t>
  </si>
  <si>
    <t>US-PAY-11 – Duyệt yêu cầu chỉnh sửa
Phụ trách: Hiếu (điều chỉnh, hủy), Minh (phát hành)</t>
  </si>
  <si>
    <t>PB-94</t>
  </si>
  <si>
    <t>Là một Nhân viên Phòng Kế toán, tôi muốn hủy bảng thanh toán chưa phát hành không còn cần dùng, để bảng không tiếp tục đi qua quy trình mà vẫn được lưu lại để truy vết.</t>
  </si>
  <si>
    <t>• Chỉ hủy bảng chưa phát hành. Bảng đã phát hành không được hủy mà phải lập yêu cầu chỉnh sửa (US-PAY-10).
• Bảng đã duyệt, đang ký hoặc đã ký chỉ được hủy khi Ban Giám đốc đồng ý đề nghị hủy (PAY-05, US-PAY-13).
• Nếu bảng đang ký, nhân viên đề nghị nhà cung cấp dịch vụ ký điện tử hủy phiên ký trước khi hủy bảng; nếu dịch vụ tạm thời không xử lý được thì đề…
(+4 AC khác trong file user story)</t>
  </si>
  <si>
    <t>TASK-142</t>
  </si>
  <si>
    <t>PB-78, PB-79</t>
  </si>
  <si>
    <t>[BE+FE] Tra cứu HĐ &amp; phụ lục theo KH (CUS-08), bảng giá theo thời điểm (CUS-09)</t>
  </si>
  <si>
    <t>US-PAY-12 – Hủy bảng thanh toán
Phụ trách: Hiếu (điều chỉnh, hủy), Minh (phát hành)</t>
  </si>
  <si>
    <t>PB-95</t>
  </si>
  <si>
    <t>Là một thành viên Ban Giám đốc, tôi muốn xem xét đề nghị hủy bảng thanh toán đã duyệt, để bảng đã duyệt chỉ bị hủy khi có lý do chính đáng.</t>
  </si>
  <si>
    <t>• Chỉ xem xét đề nghị hủy cho bảng ở trạng thái Đã duyệt, Đang ký hoặc Ký hoàn tất.
• Đề nghị hủy có kèm lý do hủy của Phòng Kế toán.
• Nếu Ban Giám đốc đồng ý, Phòng Kế toán hủy bảng (US-PAY-12).
(+1 AC khác trong file user story)</t>
  </si>
  <si>
    <t>TASK-143</t>
  </si>
  <si>
    <t>[BE+FE] Tra cứu bảng giá &amp; lịch sử phiên bản (PRC-17)</t>
  </si>
  <si>
    <t>US-PAY-13 – Duyệt đề nghị hủy
Phụ trách: Hiếu (điều chỉnh, hủy), Minh (phát hành)</t>
  </si>
  <si>
    <t>PB-96</t>
  </si>
  <si>
    <t>Ký điện tử</t>
  </si>
  <si>
    <t>Là một nhân viên thuộc bộ phận phụ trách hồ sơ, tôi muốn gửi đúng bản đã phê duyệt cùng danh sách người ký sang dịch vụ ký điện tử, để các bên thực hiện ký theo phương thức và trình tự đã thống nhất.</t>
  </si>
  <si>
    <t>TASK-144</t>
  </si>
  <si>
    <t>• Chỉ người có quyền tổ chức ký được gửi hồ sơ trong phạm vi phụ trách. Hồ sơ phải Approved và thuộc trường hợp áp dụng ký điện tử; bảng thanh toán…
• Người gửi xác định được bản ký, tài liệu bắt buộc, người ký, thẩm quyền và thông tin liên hệ của các bên. Thiếu điều kiện thì chưa gửi và nêu rõ nội…
• Chỉ gửi khi các bên đã thống nhất phương thức và trình tự. Không mặc định mọi hợp đồng phải ký điện tử hoặc công ty luôn ký trước; thứ tự của bảng…
(+5 AC khác trong file user story)</t>
  </si>
  <si>
    <t>PB-130</t>
  </si>
  <si>
    <t>[BE+FE] Tra cứu bảng thanh toán theo khách hàng (CUS-10)</t>
  </si>
  <si>
    <t>US-SIG-01 – Chuẩn bị và gửi hồ sơ đã duyệt sang dịch vụ ký
Phụ trách: Lộc</t>
  </si>
  <si>
    <t>PB-97</t>
  </si>
  <si>
    <t>Là một người đại diện có thẩm quyền ký của công ty, tôi muốn xem và ký đúng tài liệu được gửi cho mình, để xác nhận sự chấp thuận của phía công ty đối với hồ sơ đã được duyệt.</t>
  </si>
  <si>
    <t>TASK-145</t>
  </si>
  <si>
    <t>• Chỉ người được xác định có thẩm quyền và được giao ký trong phiên mới thực hiện hành động ký phía công ty; role quản lý hoặc phê duyệt không tự cấp…
• Nếu người ký từ chối hoặc ký thất bại, ghi nhận lý do/kết quả và xử lý theo US-SIG-05; không tự ghi đã ký thành công.
• Với bảng thanh toán, người ký phía công ty áp dụng vai trò BGĐ theo UC-PAY-04/US-PAY-08. Với hợp đồng/phụ lục, áp dụng người đại diện có thẩm quyền…
(+3 AC khác trong file user story)</t>
  </si>
  <si>
    <t>PB-131, PB-132</t>
  </si>
  <si>
    <t>[BE+FE] Lịch sử thay đổi KH (CUS-11); KH tạm ngưng vẫn hoàn thiện hồ sơ tính phí (CUS-16)</t>
  </si>
  <si>
    <t>US-SIG-02 – Ký điện tử phía công ty
Phụ trách: Lộc</t>
  </si>
  <si>
    <t>PB-98</t>
  </si>
  <si>
    <t>TASK-146</t>
  </si>
  <si>
    <t>Là một đại diện có thẩm quyền của khách hàng hoặc đối tác được mời ký, tôi muốn xem tài liệu và ký hoặc từ chối theo phiên được gửi, để thể hiện quyết định của bên mình đối với hồ sơ.</t>
  </si>
  <si>
    <t>PB-133, PB-134</t>
  </si>
  <si>
    <t>• Người được mời được xác định đúng bên đại diện, thông tin liên hệ và thẩm quyền theo hồ sơ tổ chức ký.
• Nếu từ chối, ghi nhận quyết định và lý do theo mô hình áp dụng, báo bộ phận phụ trách và xử lý theo US-SIG-05.
• Chưa ký thì không được suy ra là từ chối; khi phiên còn hiệu lực, tiếp tục theo dõi theo US-SIG-04; hết hạn xử lý theo US-SIG-06.
(+4 AC khác trong file user story)</t>
  </si>
  <si>
    <t>[BE+FE] Nhắc &amp; kết thúc hiệu lực bảng giá (PRC-15, 16)</t>
  </si>
  <si>
    <t>US-SIG-03 – Ký điện tử phía khách hàng hoặc đối tác
Phụ trách: Lộc</t>
  </si>
  <si>
    <t>TASK-147</t>
  </si>
  <si>
    <t>PB-99</t>
  </si>
  <si>
    <t>PB-92, PB-93</t>
  </si>
  <si>
    <t>[BE] Yêu cầu chỉnh sửa &amp; duyệt → lập bảng điều chỉnh tham chiếu bảng gốc (PAY-10, 11)</t>
  </si>
  <si>
    <t>Là một nhân viên phụ trách hồ sơ, tôi muốn theo dõi ai đã ký, ai còn thiếu và tình trạng thực tế của phiên, để chủ động phối hợp xử lý và tránh kết luận sai khi chưa nhận được kết quả.</t>
  </si>
  <si>
    <t>• Chỉ người có quyền xem hồ sơ/phiên mới được theo dõi thông tin thuộc phạm vi của mình.
• Xem được hồ sơ, bản gửi, mã phiên, trạng thái phiên, từng bên đã ký/chưa ký và thời điểm đã ghi nhận; hiển thị hạn phiên nếu áp dụng.
• Trạng thái phiên ký được phân biệt với trạng thái phê duyệt và hồ sơ nguồn; dịch vụ ký lỗi không tự làm mất kết quả Approved.
(+3 AC khác trong file user story)</t>
  </si>
  <si>
    <t>TASK-148</t>
  </si>
  <si>
    <t>US-SIG-04 – Theo dõi tiến độ và đối chiếu tình trạng phiên ký
Phụ trách: Lộc</t>
  </si>
  <si>
    <t>PB-94, PB-95</t>
  </si>
  <si>
    <t>PB-100</t>
  </si>
  <si>
    <t>[BE] Đề nghị hủy &amp; duyệt hủy bảng thanh toán (PAY-12, 13)</t>
  </si>
  <si>
    <t>Là một nhân viên phụ trách hồ sơ, tôi muốn đối chiếu kết quả dịch vụ và kiểm tra đúng bản đã ký đủ, để chỉ ghi ký thành công cho hồ sơ có kết quả và tài liệu bàn giao hợp lệ.</t>
  </si>
  <si>
    <t>• Tiếp nhận được kết quả bất đồng bộ từ dịch vụ ký hoặc mô phỏng theo mô hình đã chọn; đối chiếu đúng hồ sơ, mã phiên và bản tài liệu đã gửi.
• Nếu thiếu chữ ký mà phiên còn mở, tiếp tục US-SIG-04; nếu xác nhận không thành công thì US-SIG-05. Nếu kết quả hoàn tất nhưng chưa nhận được bản, ghi…
• Lưu bản đã ký gắn đúng hồ sơ/phiên để chuyển cho US-SIG-09 và truy vết theo US-SIG-11.
(+4 AC khác trong file user story)</t>
  </si>
  <si>
    <t>TASK-149</t>
  </si>
  <si>
    <t>US-SIG-08 – Tiếp nhận và kiểm tra bản hồ sơ đã ký
Phụ trách: Lộc</t>
  </si>
  <si>
    <t>[FE] Màn hình điều chỉnh / hủy bảng thanh toán</t>
  </si>
  <si>
    <t>PB-101</t>
  </si>
  <si>
    <t>Là một Nhân viên Phòng Kế toán, tôi muốn gửi bảng thanh toán đã duyệt sang nhà cung cấp dịch vụ ký điện tử và theo dõi phiên ký, để bảng được ký bởi đại diện công ty và khách hàng.</t>
  </si>
  <si>
    <t>• Chỉ gửi ký khi bảng ở trạng thái Đã duyệt (PAY-06) và đã có thông tin người ký của công ty và người đại diện của khách hàng.
• Nếu dịch vụ ký điện tử tạm thời không nhận được yêu cầu, bảng vẫn ở trạng thái Đã duyệt, số liệu đã duyệt giữ nguyên và nhân viên gửi lại sau…
• Tình trạng phiên ký được theo dõi riêng, tách khỏi tình trạng phê duyệt, cho đến khi đại diện khách hàng hoàn tất ký (PAY-07).
(+5 AC khác trong file user story)</t>
  </si>
  <si>
    <t>TASK-150</t>
  </si>
  <si>
    <t>[Test] Unit test PAY-05, điều chỉnh, hủy</t>
  </si>
  <si>
    <t>US-PAY-07 – Gửi ký điện tử và theo dõi phiên ký
Phụ trách: Lộc</t>
  </si>
  <si>
    <t>PB-102</t>
  </si>
  <si>
    <t>Là một thành viên Ban Giám đốc, tôi muốn ký bảng thanh toán đã duyệt trên dịch vụ ký điện tử, để bảng có chữ ký của đại diện công ty.</t>
  </si>
  <si>
    <t>• Chỉ ký bảng đang trong phiên ký (Đang ký), tức là đã được duyệt và đã được Phòng Kế toán gửi ký.
• Ban Giám đốc ký trên dịch vụ ký điện tử theo danh sách người ký đã gửi.
• Chữ ký của Ban Giám đốc được ghi nhận vào phiên ký; phiên ký tiếp tục chờ đại diện khách hàng ký.</t>
  </si>
  <si>
    <t>TASK-151</t>
  </si>
  <si>
    <t>PB-119, PB-120</t>
  </si>
  <si>
    <t>[BE] Đề nghị mở khóa kỳ qua phê duyệt đặc biệt (OUT-09, 10)</t>
  </si>
  <si>
    <t>US-PAY-08 – Ký bảng thanh toán
Phụ trách: Lộc</t>
  </si>
  <si>
    <t>PB-103</t>
  </si>
  <si>
    <t>Là một nhân viên phụ trách hồ sơ, tôi muốn nhận rõ kết quả và lý do ký không thành công, để thông báo cho các bên và chọn đúng hướng ký lại, điều chỉnh hoặc hủy theo nghiệp vụ nguồn.</t>
  </si>
  <si>
    <t>TASK-152</t>
  </si>
  <si>
    <t>• Chỉ ghi Ký thất bại khi có kết quả không thành công hoặc từ chối được xác nhận cho đúng phiên; lỗi tạm thời chưa rõ kết quả gửi được xử lý theo…
• Với bảng thanh toán, dù Signing chuyển về Revision theo mô hình áp dụng, bản đã Approved vẫn không được sửa trực tiếp theo PAY-05; sai nội dung phải…
• Khi tổ chức ký lại, áp dụng US-SIG-10; giữ nguyên dấu vết phiên đã thất bại.
(+4 AC khác trong file user story)</t>
  </si>
  <si>
    <t>PB-121, PB-122</t>
  </si>
  <si>
    <t>[BE] Mở khóa → điều chỉnh → khóa lại, cảnh báo bảng TT bị ảnh hưởng (OUT-11, 12)</t>
  </si>
  <si>
    <t>US-SIG-05 – Tiếp nhận kết quả từ chối hoặc ký thất bại
Phụ trách: Lộc</t>
  </si>
  <si>
    <t>PB-104</t>
  </si>
  <si>
    <t>TASK-153</t>
  </si>
  <si>
    <t>Là một nhân viên phụ trách hồ sơ, tôi muốn nhận biết và kết thúc việc theo dõi một phiên đã hết hạn nhưng chưa đủ chữ ký, để thông báo rõ kết quả và tổ chức ký lại khi còn nhu cầu.</t>
  </si>
  <si>
    <t>PB-123</t>
  </si>
  <si>
    <t>• Hạn/cơ chế hết hạn được xác định theo mô hình đã chọn. Nhà cung cấp thông báo hoặc bộ phận phụ trách đối chiếu để xác nhận phiên thực sự hết hạn; chỉ…
• Thông báo kết quả và cho bộ phận phụ trách xác định nhu cầu ký lại theo US-SIG-10; không tự chuyển chữ ký từ phiên cũ sang phiên mới.
• Với bảng thanh toán, nếu áp dụng Signing → Revision, vẫn khóa nội dung đã Approved theo PAY-05; không mở quyền sửa trực tiếp vì hết hạn.
(+3 AC khác trong file user story)</t>
  </si>
  <si>
    <t>[FE] Màn hình đề nghị mở khóa + lịch sử phiên bản sản lượng (OUT-14)</t>
  </si>
  <si>
    <t>US-SIG-06 – Xử lý phiên ký hết hạn khi chưa đủ chữ ký
Phụ trách: Lộc
US-SIG-06 (hết hạn phiên ký) là phần mở rộng.</t>
  </si>
  <si>
    <t>PB-105</t>
  </si>
  <si>
    <t>TASK-154</t>
  </si>
  <si>
    <t>PB-114</t>
  </si>
  <si>
    <t>Là một nhân viên phụ trách hồ sơ được giao quyền, tôi muốn đề nghị dừng hoặc hủy phiên ký theo đúng thẩm quyền và theo dõi xác nhận của dịch vụ, để dừng lần ký không còn phù hợp mà không ghi sai kết quả hoặc tự hủy hồ sơ nguồn.</t>
  </si>
  <si>
    <t>[BE] Chốt sản lượng khi chấm dứt HĐ (CTR-23)</t>
  </si>
  <si>
    <t>• Đề nghị xác định đúng hồ sơ/phiên, người đề nghị và lý do; việc chấp thuận tuân UC nguồn, không tự gán cùng một người duyệt hủy cho mọi loại hồ sơ.
• Với bảng thanh toán đã Approved trở đi, việc hủy hồ sơ phải được BGĐ đồng ý theo quy trình hiện hành; không dùng hủy phiên để né quy trình hủy hồ sơ.
• Nếu ký hoàn tất trước khi hủy có hiệu lực, đối chiếu kết quả thực tế, không ghi đè thành Hủy ký; nhận bản đã ký theo US-SIG-08 rồi xử lý hồ sơ nguồn…
(+4 AC khác trong file user story)</t>
  </si>
  <si>
    <t>TASK-155</t>
  </si>
  <si>
    <t>US-SIG-07 – Đề nghị và xác nhận hủy phiên ký
Phụ trách: Lộc</t>
  </si>
  <si>
    <t>PB-106</t>
  </si>
  <si>
    <t>[BE] Trình duyệt bảng TT qua engine (điều kiện Reconciled, PAY-04), cấu hình Kế toán trưởng → BGĐ</t>
  </si>
  <si>
    <t>Là một nhân viên phụ trách hồ sơ, tôi muốn tổ chức phiên ký mới khi lần ký trước không thành công và nhu cầu ký vẫn còn, để hoàn tất ký trên bản còn đủ điều kiện mà vẫn giữ được lịch sử các lần trước.</t>
  </si>
  <si>
    <t>• Xác định được kết quả phiên cũ và nhu cầu ký lại; nếu phiên cũ còn đang ký hoặc chưa rõ kết quả, phải đối chiếu trước, không tạo phiên mới thay cho…
• Nếu thay đổi nội dung, phải thực hiện nghiệp vụ điều chỉnh/phê duyệt phù hợp trước khi gửi; không dùng quyền ký lại để sửa trực tiếp bản đã duyệt…
• Đề nghị ký mới đi qua điều kiện và luồng gửi của US-SIG-01. Gửi lặp cùng đề nghị mới vẫn không tạo nhiều phiên.
(+3 AC khác trong file user story)</t>
  </si>
  <si>
    <t>TASK-156</t>
  </si>
  <si>
    <t>PB-88 – PB-90</t>
  </si>
  <si>
    <t>[FE] Màn hình trình/duyệt bảng thanh toán</t>
  </si>
  <si>
    <t>US-SIG-10 – Tổ chức ký lại sau một phiên không thành công
Phụ trách: Lộc</t>
  </si>
  <si>
    <t>PB-107</t>
  </si>
  <si>
    <t>Là một nhân viên phụ trách hồ sơ, tôi muốn thông báo kết quả ký và bàn giao bản đã kiểm tra cho nghiệp vụ phát hành, lưu trữ, để các bên tiếp tục sử dụng đúng hồ sơ đã ký.</t>
  </si>
  <si>
    <t>• Chỉ bàn giao bản đã được kiểm tra hợp lệ theo US-SIG-08; không phát hành bản sai hoặc phiên chưa đủ điều kiện thành công.
• Bảng thanh toán tiếp tục UC-PAY-05; hợp đồng/phụ lục tiếp tục công đoạn phát hành/lưu trữ của UC-CTR-03/06. Story này không thay thế các điều kiện…
• Với hợp đồng, hoàn tất ký không tự động làm hợp đồng Active trước ngày hiệu lực; áp dụng CTR-05 và quy tắc vòng đời đã thống nhất trong module Hợp…
(+3 AC khác trong file user story)</t>
  </si>
  <si>
    <t>TASK-157</t>
  </si>
  <si>
    <t>[BE+FE] Phát hành Signed → Issued, khóa sửa sau Approved/Signed (PAY-05, 09)</t>
  </si>
  <si>
    <t>US-SIG-09 – Thông báo hoàn tất ký và bàn giao cho nghiệp vụ nguồn
Phụ trách: Lộc (retry), Phong (bàn giao), Minh (tra cứu)</t>
  </si>
  <si>
    <t>PB-108</t>
  </si>
  <si>
    <t>Là một người dùng có quyền truy vết hồ sơ, tôi muốn xem các phiên ký, người đã ký và diễn biến kết quả, để kiểm tra hồ sơ nào đã được ký, vào lúc nào và vì sao một lần ký phải dừng hoặc thực hiện lại.</t>
  </si>
  <si>
    <t>• Chỉ hiển thị lịch sử và tài liệu thuộc phạm vi người dùng được phép truy cập.
• Tra cứu được theo hồ sơ và phiên; mỗi phiên thể hiện bản gửi, các bên/người ký, thời điểm, trạng thái và lý do kết thúc nếu có.
• Mỗi hành động quan trọng thể hiện người/chủ thể thực hiện hoặc nguồn dịch vụ, thời điểm, hành động, trạng thái trước/sau và ghi chú; phân biệt thời…
(+3 AC khác trong file user story)</t>
  </si>
  <si>
    <t>TASK-158</t>
  </si>
  <si>
    <t>[BE+FE] Tra cứu lịch sử hồ sơ &amp; các phiên ký (SIG-11)</t>
  </si>
  <si>
    <t>US-SIG-11 – Tra cứu lịch sử hồ sơ và các phiên ký
Phụ trách: Lộc (retry), Phong (bàn giao), Minh (tra cứu)</t>
  </si>
  <si>
    <t>PB-109</t>
  </si>
  <si>
    <t>Là một Nhân viên Kinh doanh, tôi muốn theo dõi và cập nhật tình trạng ký kết của hợp đồng đã được phê duyệt để bảo đảm hợp đồng được ký đầy đủ, đúng phiên bản và đúng thẩm quyền.</t>
  </si>
  <si>
    <t>• Chỉ hợp đồng đã được phê duyệt mới được thực hiện quy trình ký kết.
• Nhân viên có thể xem phiên bản hợp đồng đã duyệt và các tài liệu cần thiết phục vụ ký kết.
• Nhân viên có thể ghi nhận tình trạng ký của doanh nghiệp và khách hàng, đồng thời đính kèm tài liệu ký kết.
(+3 AC khác trong file user story)</t>
  </si>
  <si>
    <t>TASK-159</t>
  </si>
  <si>
    <t>[Test] Unit test mở khóa kỳ</t>
  </si>
  <si>
    <t>US-CTR-07 – Quản lý quá trình ký kết hợp đồng
Phụ trách: Phong</t>
  </si>
  <si>
    <t>PB-110</t>
  </si>
  <si>
    <t>Là một Nhân viên Kinh doanh, tôi muốn ghi nhận quá trình ký kết, lưu trữ và thời gian hiệu lực của phụ lục để bảo đảm các nội dung điều chỉnh được áp dụng đúng thời điểm.</t>
  </si>
  <si>
    <t>TASK-160</t>
  </si>
  <si>
    <t>• Chỉ phụ lục đã được phê duyệt mới được thực hiện quy trình ký kết.
• Nhân viên có thể cập nhật tình trạng ký kết và lưu bản phụ lục đã ký.
• Phụ lục chỉ được ghi nhận Đã ký khi có đầy đủ chữ ký hợp lệ và tài liệu bắt buộc.
(+5 AC khác trong file user story)</t>
  </si>
  <si>
    <t>[Design] Sequence diagram lập bảng thanh toán</t>
  </si>
  <si>
    <t>US-CTR-15 – Quản lý ký kết và hiệu lực phụ lục hợp đồng
Phụ trách: Phong</t>
  </si>
  <si>
    <t>PB-111</t>
  </si>
  <si>
    <t>Là một Nhân viên Kinh doanh, tôi muốn lập đề nghị hủy ngang hợp đồng đã ký nhưng chưa đến ngày hiệu lực, để</t>
  </si>
  <si>
    <t>TASK-161</t>
  </si>
  <si>
    <t>• Đề nghị hủy ngang chỉ áp dụng cho hợp đồng ở trạng thái Đã ký và có ngày hủy trước ngày hiệu lực.
• Đề nghị phải kèm kết quả rà soát của Pháp chế về điều khoản phí hủy và bên chịu chi phí (US-CTR-22).
• Nếu đến ngày hiệu lực mà thỏa thuận hủy chưa được hai bên ký, hợp đồng vẫn chuyển sang Có hiệu lực, và việc kết thúc hợp đồng được xử lý theo…
(+9 AC khác trong file user story)</t>
  </si>
  <si>
    <t>[DB] Bảng payment_sheet, payment_line (snapshot đơn giá, thuế)</t>
  </si>
  <si>
    <t>US-CTR-20 – Hủy ngang hợp đồng đã ký chưa đến ngày hiệu lực
Phụ trách: Phong, Minh (CTR-23)</t>
  </si>
  <si>
    <t>PB-112</t>
  </si>
  <si>
    <t>Là một Nhân viên Kinh doanh, tôi muốn lập đề nghị chấm dứt trước thời hạn đối với hợp đồng đang có hiệu lực, để</t>
  </si>
  <si>
    <t>TASK-162</t>
  </si>
  <si>
    <t>• Nhân viên có thể lập đề nghị chấm dứt cho hợp đồng ở trạng thái Có hiệu lực. Đề nghị phải ghi rõ bên đề nghị, lý do và ngày chấm dứt dự kiến.
• Ngày chấm dứt dự kiến được đối chiếu với thời hạn báo trước trong hợp đồng. Nếu không đảm bảo thời hạn báo trước, việc này được ghi nhận để Pháp chế…
• Đề nghị phải kèm kết quả rà soát của Pháp chế (US-CTR-22), gồm điều khoản áp dụng, bên vi phạm, phạt vi phạm, bồi thường thiệt hại và miễn trừ trách…
(+9 AC khác trong file user story)</t>
  </si>
  <si>
    <t>[BE] Lập bảng TT: kiểm tra HĐ Active, bảng giá Effective, SL đã khóa; 1 bảng/HĐ/kỳ</t>
  </si>
  <si>
    <t>US-CTR-21 – Chấm dứt hợp đồng trước thời hạn
Phụ trách: Phong, Minh (CTR-23)</t>
  </si>
  <si>
    <t>PB-113</t>
  </si>
  <si>
    <t>TASK-163</t>
  </si>
  <si>
    <t>Là một chuyên viên Pháp chế, tôi muốn rà soát điều khoản hủy ngang và chấm dứt trong hợp đồng và các phụ lục đang có hiệu lực, để xác định căn cứ, bên vi phạm và nghĩa vụ của mỗi bên trước khi đề nghị được trình duyệt.</t>
  </si>
  <si>
    <t>• Chuyên viên Pháp chế xem được hợp đồng gốc và toàn bộ phụ lục đã có hiệu lực khi rà soát.
• Kết quả rà soát ghi nhận các nội dung sau
• Nếu có căn cứ miễn trừ trách nhiệm (ví dụ bất khả kháng), căn cứ và tài liệu chứng minh phải được ghi nhận.
(+3 AC khác trong file user story)</t>
  </si>
  <si>
    <t>[BE] Tính tiền: lấy đơn giá hiệu lực theo ngày (có phụ lục), thành tiền, thuế, tổng, snapshot → Calculated</t>
  </si>
  <si>
    <t>US-CTR-22 – Rà soát căn cứ và nghĩa vụ khi hủy ngang / chấm dứt hợp đồng
Phụ trách: Phong, Minh (CTR-23)</t>
  </si>
  <si>
    <t>TASK-164</t>
  </si>
  <si>
    <t>Là một nhân viên Phòng Khai thác, tôi muốn chốt sản lượng đã thực hiện và chi phí vận hành đã phát sinh đến ngày hủy hoặc chấm dứt hợp đồng, để làm căn cứ tính thanh toán và chi phí, đồng thời không phát sinh sản lượng mới sau ngày đó.</t>
  </si>
  <si>
    <t>[FE] Màn hình lập &amp; xem bảng thanh toán</t>
  </si>
  <si>
    <t>• Phòng Khai thác được thông báo yêu cầu chốt khi có đề nghị hủy ngang hoặc chấm dứt, kèm ngày dự kiến.
• Với chấm dứt trước hạn, Khai thác ghi nhận và xác nhận sản lượng từ đầu kỳ đến ngày chấm dứt.
• Với hủy ngang, Khai thác ghi nhận các chi phí chuẩn bị vận hành đã phát sinh từ ngày ký đến ngày hủy, kèm chứng từ. Ví dụ: điều động phương tiện…
(+2 AC khác trong file user story)</t>
  </si>
  <si>
    <t>TASK-165</t>
  </si>
  <si>
    <t>US-CTR-23 – Chốt sản lượng và chi phí vận hành khi hủy ngang / chấm dứt hợp đồng
Phụ trách: Phong, Minh (CTR-23)</t>
  </si>
  <si>
    <t>PB-84 – PB-87</t>
  </si>
  <si>
    <t>PB-115</t>
  </si>
  <si>
    <t>[BE+FE] Đối soát SL &amp; đơn giá → Reconciled; chỉnh sửa có kiểm soát, tính lại</t>
  </si>
  <si>
    <t>Là một nhân viên Kế toán, tôi muốn xác nhận chi phí hủy, số tiền thanh toán kỳ cuối, tiền phạt vi phạm và tiền bồi thường, để công nợ với khách hàng được ghi nhận đầy đủ khi hợp đồng bị hủy ngang hoặc chấm dứt.</t>
  </si>
  <si>
    <t>• Với hủy ngang, Kế toán xác nhận chi phí hủy dựa trên các hạng mục chi phí đã tập hợp.
• Với chấm dứt trước hạn, Kế toán đối soát công nợ đến ngày chấm dứt và lập thanh toán kỳ cuối theo sản lượng đã chốt và đơn giá đang áp dụng.
• Tiền phạt và tiền bồi thường được ghi nhận theo kết quả rà soát của Pháp chế, có phân biệt khoản phải thu và khoản phải trả.
(+3 AC khác trong file user story)</t>
  </si>
  <si>
    <t>TASK-166</t>
  </si>
  <si>
    <t>US-CTR-24 – Xác nhận số tiền và ghi nhận công nợ khi hủy ngang / chấm dứt hợp đồng
Phụ trách: Phong, Minh (CTR-23)</t>
  </si>
  <si>
    <t>[Test] Unit test tính tiền &amp; PAY-01..04</t>
  </si>
  <si>
    <t>PB-116</t>
  </si>
  <si>
    <t>Là một Nhân viên Kinh doanh, tôi muốn xem danh sách các hợp đồng sắp hết hạn thuộc phạm vi phụ trách để chủ động rà soát và liên hệ khách hàng về nhu cầu gia hạn.</t>
  </si>
  <si>
    <t>• Nhân viên có thể xem các hợp đồng sắp hết hạn thuộc quyền phụ trách.
• Danh sách hiển thị các thông tin cần thiết như khách hàng, hợp đồng, ngày kết thúc và tình trạng hiện tại.
• Nhân viên có thể xem thông tin thực hiện hợp đồng liên quan đến sản lượng và công nợ khi dữ liệu và quyền truy cập cho phép.
(+1 AC khác trong file user story)</t>
  </si>
  <si>
    <t>TASK-167</t>
  </si>
  <si>
    <t>PB-124 – PB-129</t>
  </si>
  <si>
    <t>[BE+FE] Import Excel danh mục khu vực (validate từng dòng, báo lỗi)</t>
  </si>
  <si>
    <t>US-CTR-25 – Theo dõi hợp đồng sắp hết hạn
Phụ trách: Tuấn
Phần nhắc hạn tự động làm ở Sprint 2 (job theo ngày).</t>
  </si>
  <si>
    <t>PB-117</t>
  </si>
  <si>
    <t>Là một Nhân viên Kinh doanh, tôi muốn ghi nhận phương án và đề xuất gia hạn hợp đồng để Trưởng phòng Kinh doanh xem xét trước khi thực hiện quy trình lập phụ lục gia hạn.</t>
  </si>
  <si>
    <t>• Nhân viên có thể lập đề xuất gia hạn đối với hợp đồng đã ký và đang Có hiệu lực.
• Nhân viên có thể ghi nhận thời hạn gia hạn dự kiến, nội dung điều chỉnh và kết quả trao đổi với khách hàng.
• Trưởng phòng có thể xem xét và đưa ra quyết định đối với đề xuất gia hạn.
(+4 AC khác trong file user story)</t>
  </si>
  <si>
    <t>TASK-168</t>
  </si>
  <si>
    <t>PB-125, PB-126</t>
  </si>
  <si>
    <t>[BE+FE] Sản lượng &amp; đối soát theo khu vực (ARE-10, 11)</t>
  </si>
  <si>
    <t>US-CTR-26 – Đề xuất gia hạn hợp đồng
Phụ trách: Tuấn</t>
  </si>
  <si>
    <t>PB-118</t>
  </si>
  <si>
    <t>Là một Nhân viên Kinh doanh, tôi muốn ghi nhận kết quả không gia hạn và theo dõi việc hết hiệu lực của hợp đồng để bảo đảm các bộ phận liên quan ngừng áp dụng hợp đồng đúng thời điểm.</t>
  </si>
  <si>
    <t>TASK-169</t>
  </si>
  <si>
    <t>• Nhân viên có thể ghi nhận việc khách hàng không có nhu cầu gia hạn hoặc Trưởng phòng không chấp thuận gia hạn.
• Khi hợp đồng đến ngày kết thúc mà chưa có phụ lục gia hạn hợp lệ có hiệu lực, hợp đồng chuyển sang Hết hiệu lực (Expired).
• Hệ thống không tự động kéo dài hiệu lực hợp đồng chỉ dựa trên đề xuất gia hạn hoặc phụ lục chưa được ký hoàn tất.
(+2 AC khác trong file user story)</t>
  </si>
  <si>
    <t>PB-127 – PB-129</t>
  </si>
  <si>
    <t>[BE+FE] Tra cứu theo KV: bảng giá, HĐ &amp; KH, lịch sử biến động KV (ARE-14, 15, 16)</t>
  </si>
  <si>
    <t>US-CTR-27 – Xử lý hợp đồng không được gia hạn
Phụ trách: Tuấn</t>
  </si>
  <si>
    <t>PB-119</t>
  </si>
  <si>
    <t>Là một Trưởng phòng Khai thác, tôi muốn lập và trình đề nghị mở khóa khi phát hiện sai sót trong kỳ sản lượng đã khóa để xin phê duyệt điều chỉnh dữ liệu theo đúng thẩm quyền và có căn cứ giải trình.</t>
  </si>
  <si>
    <t>TASK-170</t>
  </si>
  <si>
    <t>• Trưởng phòng Khai thác chỉ có thể lập đề nghị mở khóa đối với kỳ đang ở trạng thái Đã khóa.
• Trưởng phòng có thể xem phiên bản sản lượng đã khóa và xác định các bản ghi cần điều chỉnh.
• Đề nghị mở khóa phải ghi rõ kỳ sản lượng, nội dung sai lệch, lý do, căn cứ điều chỉnh và phạm vi dự kiến thay đổi.
(+4 AC khác trong file user story)</t>
  </si>
  <si>
    <t>PB-116 – PB-118</t>
  </si>
  <si>
    <t>[BE+FE] Gia hạn HĐ: danh sách sắp hết hạn, đề xuất gia hạn (phụ lục gia hạn), không gia hạn → Expired</t>
  </si>
  <si>
    <t>US-OUT-09 – Lập và trình đề nghị mở khóa kỳ sản lượng
Phụ trách: Minh</t>
  </si>
  <si>
    <t>PB-120</t>
  </si>
  <si>
    <t>Là một thành viên Ban Giám đốc có thẩm quyền, tôi muốn xem xét và quyết định đối với đề nghị mở khóa kỳ sản lượng để bảo đảm chỉ những trường hợp có căn cứ hợp lệ mới được phép điều chỉnh dữ liệu đã khóa.</t>
  </si>
  <si>
    <t>TASK-171</t>
  </si>
  <si>
    <t>• Ban Giám đốc có thể xem hồ sơ đề nghị, phiên bản sản lượng đã khóa, nội dung sai lệch, lý do và chứng từ giải trình.
• Ban Giám đốc có thể xem thông tin ảnh hưởng dự kiến đến các bảng thanh toán đã sử dụng dữ liệu sản lượng liên quan.
• Khi chấp thuận, đề nghị chuyển sang trạng thái Đã chấp thuận và cho phép Trưởng phòng Khai thác thực hiện mở khóa theo phạm vi đã được phê duyệt.
(+3 AC khác trong file user story)</t>
  </si>
  <si>
    <t>[Test] Kịch bản E2E toàn bộ 8 bước nghiệp vụ (mục 3 đề bài)</t>
  </si>
  <si>
    <t>US-OUT-10 – Xem xét và phê duyệt đề nghị mở khóa đặc biệt
Phụ trách: Minh</t>
  </si>
  <si>
    <t>PB-121</t>
  </si>
  <si>
    <t>TASK-172</t>
  </si>
  <si>
    <t>Là một Trưởng phòng Khai thác, tôi muốn thực hiện mở khóa kỳ đã được phê duyệt, kiểm soát quá trình điều chỉnh và khóa lại dữ liệu để bảo đảm sản lượng sau điều chỉnh được xác nhận chính xác mà vẫn bảo toàn lịch sử trước đó.</t>
  </si>
  <si>
    <t>[Test] Test kỹ thuật mục 5.5: double submit, race condition, mất event, phân quyền ngữ cảnh</t>
  </si>
  <si>
    <t>• Sau khi mở khóa hợp lệ, Nhân viên Khai thác được phân quyền có thể thực hiện UC-OUT-02 để điều chỉnh các bản ghi liên quan.
• Nếu điều chỉnh làm thay đổi dữ liệu đã được xác nhận tại khu vực, việc xác nhận lại phải tuân theo UC-ARE-05 trước khi khóa lại.
• Sau khi điều chỉnh hoàn tất và dữ liệu đáp ứng điều kiện, Trưởng phòng Khai thác có thể xác nhận khóa lại theo UC-OUT-03.
(+5 AC khác trong file user story)</t>
  </si>
  <si>
    <t>US-OUT-11 – Thực hiện mở khóa và khóa lại kỳ sản lượng sau điều chỉnh
Phụ trách: Minh</t>
  </si>
  <si>
    <t>TASK-173</t>
  </si>
  <si>
    <t>PB-122</t>
  </si>
  <si>
    <t>[Test] Bug bash, regression, hướng dẫn sử dụng, seed dữ liệu demo cuối</t>
  </si>
  <si>
    <t>Là một nhân viên Kế toán, tôi muốn đối chiếu phiên bản sản lượng trước và sau điều chỉnh để xác định ảnh hưởng đến các bảng thanh toán đã lập và thực hiện xử lý điều chỉnh phù hợp mà không làm mất tính toàn vẹn của hồ sơ thanh toán.</t>
  </si>
  <si>
    <t>• Khi một kỳ sản lượng được khóa lại sau điều chỉnh đặc biệt, Kế toán có thể tiếp nhận thông tin phiên bản cũ, phiên bản mới và các nội dung đã thay…
• Kế toán có thể xem những bảng thanh toán đang tham chiếu đến phiên bản sản lượng trước điều chỉnh.
• Đối với bảng thanh toán đã Approved hoặc Signed, không cho phép sửa trực tiếp nội dung đã duyệt/ký; nếu phát sinh chênh lệch phải lập hồ sơ điều…
(+4 AC khác trong file user story)</t>
  </si>
  <si>
    <t>TASK-174</t>
  </si>
  <si>
    <t>US-OUT-12 – Kiểm tra ảnh hưởng của điều chỉnh sản lượng đến bảng thanh toán
Phụ trách: Minh</t>
  </si>
  <si>
    <t>[DB] Bảng sign_session, sign_signer, sign_event</t>
  </si>
  <si>
    <t>Là một người dùng có quyền tra cứu lịch sử sản lượng, tôi muốn xem các phiên bản dữ liệu, lịch sử điều chỉnh và thông tin liên kết với bảng thanh toán để phục vụ kiểm tra, đối soát và giải trình những thay đổi đã phát sinh.</t>
  </si>
  <si>
    <t>• Người dùng có quyền có thể xem trạng thái hiện hành của bản ghi và kỳ sản lượng, bao gồm thông tin đã khóa hay chưa khóa.
• Đối với dữ liệu chưa khóa, hệ thống thể hiện rõ rằng số liệu chưa phải phiên bản cuối cùng được xác nhận để phục vụ thanh toán.
• Khi bản ghi có điều chỉnh, người dùng có thể xem giá trị trước/sau, lý do, người thực hiện và thời điểm thay đổi.
(+3 AC khác trong file user story)</t>
  </si>
  <si>
    <t>TASK-175</t>
  </si>
  <si>
    <t>US-OUT-14 – Tra cứu lịch sử điều chỉnh và phiên bản sản lượng
Phụ trách: Minh</t>
  </si>
  <si>
    <t>PB-124</t>
  </si>
  <si>
    <t>[BE] E-Sign Mock Service (project riêng): nhận yêu cầu ký, trang ký giả lập, xử lý trễ, gọi webhook</t>
  </si>
  <si>
    <t>Là một Trưởng phòng Khai thác, tôi muốn nhập hàng loạt danh mục khu vực từ tập tin bảng tính theo biểu mẫu chuẩn, để nhanh chóng thiết lập danh mục mặt bằng ban đầu khi đưa cảng hoặc phân khu mới vào vận hành.</t>
  </si>
  <si>
    <t>• Cung cấp tập tin mẫu chuẩn (.xlsx) có đầy đủ hướng dẫn định dạng, các cột bắt buộc và danh mục mã loại mặt bằng chuẩn hóa.
• Quá trình tiếp nhận dữ liệu được phân tích và xử lý theo đúng thứ tự phân cấp (khu vực cha cấp 1 xử lý trước, sau đó đến cấp 2 và cấp 3).
• Dữ liệu nhập vào phải tuân thủ toàn bộ các quy tắc nghiệp vụ: ARE-01 (không trùng mã trong công ty), ARE-02 (không trùng tên trong cùng cha), ARE-03…
(+3 AC khác trong file user story)</t>
  </si>
  <si>
    <t>TASK-176</t>
  </si>
  <si>
    <t>[BE] Gửi ký hồ sơ Approved (PAY-06), tạo phiên idempotent, Chờ gửi ký → Đang ký</t>
  </si>
  <si>
    <t>US-ARE-03 – Nhập danh mục khu vực ban đầu từ file bảng tính (Import Excel)
Phụ trách: Tuấn</t>
  </si>
  <si>
    <t>PB-125</t>
  </si>
  <si>
    <t>Là một Nhân viên Khai thác hoặc Nhân viên Kế toán, tôi muốn tra cứu và xem tổng hợp sản lượng thực hiện theo khu vực và kỳ ghi nhận, để nắm bắt khối lượng vận hành thực tế và theo dõi hiệu suất sử dụng mặt bằng cảng.</t>
  </si>
  <si>
    <t>• Nhân viên Khai thác chỉ xem được số liệu sản lượng của các khu vực mình được phân công phụ trách (theo ARE-10); Trưởng phòng Khai thác, Nhân viên Kế…
• Số liệu sản lượng được tổng hợp linh hoạt theo các chỉ tiêu đo lường: số lượng container (20ft, 40ft, 45ft), khối lượng hàng rời (tấn), số lượt…
• Thể hiện rõ tình trạng của kỳ sản lượng: Mở (Open), Đã đối soát (Reconciled), hoặc Đã khóa kỳ (Locked).
(+3 AC khác trong file user story)</t>
  </si>
  <si>
    <t>TASK-177</t>
  </si>
  <si>
    <t>US-ARE-10 – Tra cứu và theo dõi sản lượng thực hiện theo khu vực
Phụ trách: Tuấn</t>
  </si>
  <si>
    <t>[BE] Webhook callback (HMAC, chống xử lý trùng) → Ký thành công/thất bại, lưu bản đã ký</t>
  </si>
  <si>
    <t>PB-126</t>
  </si>
  <si>
    <t>Là một Nhân viên Kế toán hoặc Nhân viên Khai thác, tôi muốn đối soát số liệu sản lượng đã xác nhận tại khu vực với chứng từ vận hành và chuyển giao cho bộ phận thanh toán, để làm căn cứ lập bảng thanh toán chi phí chính xác cho khách hàng.</t>
  </si>
  <si>
    <t>• Dữ liệu sản lượng khu vực sau khi kiểm tra hợp lệ được chuyển giao sang phân hệ Sản lượng (US-OUT-02) và phân hệ Thanh toán (US-PAY-01, US-PAY-02) để…
• Theo quy tắc ARE-08, bản ghi sản lượng chuyển giao lưu giữ nguyên vẹn snapshot tên và mã khu vực tại thời điểm phát sinh để bảo toàn lịch sử thanh…
• Nếu phát hiện sai lệch số liệu, việc điều chỉnh phải tuân thủ đúng quy trình điều chỉnh sản lượng trước khóa kỳ (US-OUT-04) hoặc mở khóa đặc biệt…
(+3 AC khác trong file user story)</t>
  </si>
  <si>
    <t>TASK-178</t>
  </si>
  <si>
    <t>US-ARE-11 – Tiếp nhận và đối soát số liệu sản lượng khu vực phục vụ thanh toán
Phụ trách: Tuấn</t>
  </si>
  <si>
    <t>[BE] Ký thất bại / từ chối / hết hạn / hủy phiên; ký lại tạo phiên mới</t>
  </si>
  <si>
    <t>PB-127</t>
  </si>
  <si>
    <t>Là một Nhân viên Kinh doanh hoặc Nhân viên Kế toán, tôi muốn tra cứu các bảng giá dịch vụ đang có hiệu lực áp dụng cho một khu vực cụ thể, để biết chính xác đơn giá hiện hành tại địa bàn phục vụ báo giá hoặc kiểm tra tính cước.</t>
  </si>
  <si>
    <t>• Hiển thị danh sách các bảng giá dịch vụ có phạm vi áp dụng gắn với khu vực đó.
• Thông tin hiển thị gồm: Mã bảng giá, Tên bảng giá, Đối tượng khách hàng áp dụng, Loại dịch vụ, Đơn giá, Đơn vị tính, Thời hạn hiệu lực (từ ngày đến…
• Làm nổi bật phiên bản bảng giá đang có hiệu lực (Effective) tại thời điểm tra cứu.
(+2 AC khác trong file user story)</t>
  </si>
  <si>
    <t>TASK-179</t>
  </si>
  <si>
    <t>[FE] Màn hình phiên ký: gửi ký, trạng thái từng người ký, hủy, ký lại</t>
  </si>
  <si>
    <t>US-ARE-14 – Tra cứu bảng giá dịch vụ áp dụng theo khu vực
Phụ trách: Tuấn</t>
  </si>
  <si>
    <t>PB-128</t>
  </si>
  <si>
    <t>Là một Nhân viên Kinh doanh hoặc Nhân viên Pháp chế, tôi muốn biết khu vực mặt bằng nào đang phục vụ những hợp đồng và khách hàng nào, để nắm rõ cam kết khai thác thương mại và phối hợp điều tiết mặt bằng khi hợp đồng sắp hết hạn.</t>
  </si>
  <si>
    <t>TASK-180</t>
  </si>
  <si>
    <t>PB-107, PB-108</t>
  </si>
  <si>
    <t>• Hiển thị danh sách các khách hàng và hợp đồng khai thác có chỉ định khu vực mặt bằng này.
• Thông tin hiển thị gồm: Tên khách hàng/hãng tàu, Mã số thuế, Số hợp đồng, Loại hợp đồng, Thời hạn hiệu lực và Trạng thái hợp đồng (Active, Draft…
• Đánh dấu cảnh báo rõ ràng đối với các hợp đồng còn hiệu lực dưới 30 ngày (đồng bộ với US-CTR-25).
(+2 AC khác trong file user story)</t>
  </si>
  <si>
    <t>[BE] Retry/Outbox cho E-Sign: lỗi tạm thời giữ Approved, hàng đợi gửi lại</t>
  </si>
  <si>
    <t>US-ARE-15 – Tra cứu hợp đồng và khách hàng liên kết theo khu vực
Phụ trách: Tuấn</t>
  </si>
  <si>
    <t>TASK-181</t>
  </si>
  <si>
    <t>PB-129</t>
  </si>
  <si>
    <t>[Test] Test bất đồng bộ: hết hạn phiên, ký lại</t>
  </si>
  <si>
    <t>Là một Trưởng phòng Khai thác, tôi muốn xem dòng thời gian nhật ký ghi nhận toàn bộ biến động dữ liệu của khu vực từ khi khởi tạo, để phục vụ công tác thanh kiểm tra và truy vết trách nhiệm khi có sai lệch số liệu.</t>
  </si>
  <si>
    <t>• Chỉ Trưởng phòng Khai thác và Ban Giám đốc mới được truy cập nhật ký biến động khu vực.
• Dữ liệu nhật ký là Append-only, được bảo toàn nguyên vẹn, tuyệt đối không cho phép chỉnh sửa hoặc xóa bỏ dưới bất kỳ hình thức nào theo quy tắc…
• Mỗi sự kiện ghi nhận đầy đủ: Thời điểm chính xác (năm-tháng-ngày giờ:phút:giây), Người thực hiện (Mã NV, Họ tên), Hành động (Tạo mới, Cập nhật, Đổi…
(+3 AC khác trong file user story)</t>
  </si>
  <si>
    <t>TASK-182</t>
  </si>
  <si>
    <t>US-ARE-16 – Xem lịch sử biến động và nhật ký kiểm toán khu vực
Phụ trách: Tuấn</t>
  </si>
  <si>
    <t>[Design] Sequence diagram chấm dứt / hủy ngang hợp đồng</t>
  </si>
  <si>
    <t>Là một Nhân viên Kế toán, tôi muốn tra cứu các bảng thanh toán của khách hàng theo hợp đồng, kỳ và tình trạng xử lý để đối chiếu hồ sơ tính phí và xác định nội dung cần làm rõ.</t>
  </si>
  <si>
    <t>• Kế toán chỉ xem được bảng thanh toán thuộc đúng khách hàng, hợp đồng và phạm vi được phép tiếp cận.
• Có thể lọc theo hợp đồng, kỳ tính phí và tình trạng xử lý.
• Danh sách thể hiện mã bảng, hợp đồng, kỳ tính phí, tổng tiền và trạng thái. Tình trạng phê duyệt, ký điện tử và phát hành được phân biệt rõ.
(+6 AC khác trong file user story)</t>
  </si>
  <si>
    <t>TASK-183</t>
  </si>
  <si>
    <t>US-CUS-10 – Tra cứu bảng thanh toán theo khách hàng
Phụ trách: Hiếu</t>
  </si>
  <si>
    <t>PB-109, PB-110</t>
  </si>
  <si>
    <t>[BE] Gửi HĐ/phụ lục Approved sang ký điện tử, cập nhật sau khi ký (CTR-07, 15)</t>
  </si>
  <si>
    <t>PB-131</t>
  </si>
  <si>
    <t>Là một Trưởng phòng Kinh doanh được giao quyền truy vết, tôi muốn xem ai đã thay đổi gì trên hồ sơ khách hàng và vào thời điểm nào để kiểm tra, giải trình khi có sai lệch.</t>
  </si>
  <si>
    <t>• Trưởng phòng Kinh doanh, nhân sự Kinh doanh được giao quyền hoặc Quản trị hệ thống chỉ xem lịch sử trong phạm vi được phép. Quyền xem thông tin khách…
• Có thể lọc lịch sử của khách hàng theo khoảng thời gian, người thực hiện và loại hành động.
• Khoảng thời gian có ngày bắt đầu sau ngày kết thúc thì không được áp dụng và người thực hiện được yêu cầu điều chỉnh.
(+5 AC khác trong file user story)</t>
  </si>
  <si>
    <t>TASK-184</t>
  </si>
  <si>
    <t>[BE] Phụ lục có hiệu lực: API 'điều khoản/đơn giá hiệu lực tại ngày' cho module Thanh toán</t>
  </si>
  <si>
    <t>US-CUS-11 – Truy vết các thay đổi trên hồ sơ khách hàng
Phụ trách: Hiếu</t>
  </si>
  <si>
    <t>PB-132</t>
  </si>
  <si>
    <t>Là một Nhân viên Kế toán được giao quyền, tôi muốn hoàn thiện hồ sơ tính phí cho dịch vụ đã thực hiện của khách hàng Suspended để ghi nhận đúng khoản phải thu mà không mở lại quyền phát sinh dịch vụ mới.</t>
  </si>
  <si>
    <t>• Chỉ người có quyền lập hoặc xử lý bảng thanh toán và có quyền trên hồ sơ liên quan mới được thực hiện. Khách hàng không phải chuyển sang Active để…
• Phần dịch vụ được tính phí phải thuộc hợp đồng hiện có và đã thực hiện theo cam kết hoặc phương án xử lý được xác nhận. Không dùng ngoại lệ này để…
• Hợp đồng và bảng giá phải áp dụng đúng kỳ dịch vụ. Sản lượng thực tế phải được Khai thác xác nhận và khóa kỳ theo điều kiện của phân hệ thanh toán.
(+9 AC khác trong file user story)</t>
  </si>
  <si>
    <t>TASK-185</t>
  </si>
  <si>
    <t>[FE] Hiển thị trạng thái ký trên HĐ/phụ lục</t>
  </si>
  <si>
    <t>US-CUS-16 – Hoàn thiện hồ sơ tính phí khi khách hàng tạm ngưng
Phụ trách: Hiếu</t>
  </si>
  <si>
    <t>PB-133</t>
  </si>
  <si>
    <t>Là một Nhân viên Kinh doanh, tôi muốn được nhắc về các bảng giá sắp hết hạn trong N ngày, để chủ động làm việc với khách hàng về giá cho giai đoạn tiếp theo, tránh có kỳ không có giá để tính phí.</t>
  </si>
  <si>
    <t>TASK-186</t>
  </si>
  <si>
    <t>• Số ngày N do công ty cấu hình.
• Khi một bảng giá Đang áp dụng còn N ngày đến ngày kết thúc, nhân viên phụ trách được thông báo.
• Nếu khách hàng tiếp tục, nhân viên lập bảng giá cho giai đoạn tiếp theo (US-PRC-01). Ngày bắt đầu được gợi ý nối tiếp ngày kết thúc của bảng giá hiện…
(+5 AC khác trong file user story)</t>
  </si>
  <si>
    <t>[BE] Hoàn tất ký → event bàn giao nghiệp vụ nguồn + thông báo (SIG-09)</t>
  </si>
  <si>
    <t>US-PRC-15 – Nhắc và xử lý bảng giá sắp hết hạn
Phụ trách: Hiếu
Phần nhắc hạn tự động làm ở Sprint 2 (job theo ngày).</t>
  </si>
  <si>
    <t>PB-134</t>
  </si>
  <si>
    <t>TASK-187</t>
  </si>
  <si>
    <t>Là một Nhân viên Kinh doanh, tôi muốn bảng giá ngừng áp dụng đúng ngày kết thúc và các bên liên quan được thông báo, để Phòng Kế toán tính phí đúng giá cho từng giai đoạn.</t>
  </si>
  <si>
    <t>PB-111 – PB-113</t>
  </si>
  <si>
    <t>• Qua ngày kết thúc, bảng giá chuyển sang Hết hiệu lực (Expired).
• Khách hàng và Phòng Kế toán được thông báo khi bảng giá hết hiệu lực.
• Khi hợp đồng bị hủy ngang hoặc chấm dứt (UC-CTR-09), bảng giá gắn với hợp đồng hết hiệu lực từ ngày hủy hoặc chấm dứt, dù chưa đến ngày kết thúc.
(+4 AC khác trong file user story)</t>
  </si>
  <si>
    <t>[BE] Đề nghị hủy ngang/chấm dứt qua phê duyệt, Pháp chế rà soát căn cứ (CTR-20, 21, 22)</t>
  </si>
  <si>
    <t>US-PRC-16 – Kết thúc hiệu lực bảng giá
Phụ trách: Hiếu</t>
  </si>
  <si>
    <t>TASK-188</t>
  </si>
  <si>
    <t>AI Agent</t>
  </si>
  <si>
    <t>Là người dùng, tôi muốn hỏi trợ lý AI về trạng thái hồ sơ (VD: 'HĐ của KH X đang ở bước nào?').</t>
  </si>
  <si>
    <t>[BE] Kế toán xác nhận số tiền &amp; công nợ khi chấm dứt (CTR-24) → Cancelled</t>
  </si>
  <si>
    <t>Agent gọi API tra cứu nội bộ theo đúng quyền người dùng, không thao tác ghi; trả lời kèm link hồ sơ.</t>
  </si>
  <si>
    <t>Hạng mục nền tảng (Đề mục 6.2); Phụ trách: Xuân; Cần xác nhận với GV: 'AI Agent' là tính năng sản phẩm hay công cụ hỗ trợ phát triển.</t>
  </si>
  <si>
    <t>TASK-189</t>
  </si>
  <si>
    <t>Sản phẩm cuối chạy toàn trình và test được hết.</t>
  </si>
  <si>
    <t>[FE] Màn hình chấm dứt / hủy ngang hợp đồng</t>
  </si>
  <si>
    <t>8 bước nghiệp vụ mục 3 chạy E2E; test mục 5.5 (double submit, race condition, mất event, phân quyền ngữ cảnh) pass; không còn bug mức cao; tài liệu hướng dẫn + bản deploy.</t>
  </si>
  <si>
    <t>TASK-190</t>
  </si>
  <si>
    <t>[Test] Unit test CTR-05..07 &amp; luồng chấm dứt</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</si>
</sst>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rgb="FF000000"/>
      <name val="Carlito"/>
      <scheme val="minor"/>
    </font>
    <font>
      <b/>
      <sz val="13.0"/>
      <color theme="1"/>
      <name val="Arial"/>
    </font>
    <font>
      <b/>
      <sz val="18.0"/>
      <color rgb="FF243449"/>
      <name val="Carlito"/>
    </font>
    <font/>
    <font>
      <sz val="10.0"/>
      <color rgb="FF64748B"/>
      <name val="Carlito"/>
    </font>
    <font>
      <b/>
      <sz val="10.0"/>
      <color rgb="FF64748B"/>
      <name val="Carlito"/>
    </font>
    <font>
      <b/>
      <sz val="11.0"/>
      <color rgb="FF334155"/>
      <name val="Carlito"/>
    </font>
    <font>
      <sz val="10.0"/>
      <color theme="1"/>
      <name val="Arial"/>
    </font>
    <font>
      <sz val="11.0"/>
      <color rgb="FF334155"/>
      <name val="Carlito"/>
    </font>
    <font>
      <sz val="11.0"/>
      <color theme="1"/>
      <name val="Arial"/>
    </font>
    <font>
      <sz val="11.0"/>
      <color theme="1"/>
      <name val="Carlito"/>
    </font>
  </fonts>
  <fills count="8">
    <fill>
      <patternFill patternType="none"/>
    </fill>
    <fill>
      <patternFill patternType="lightGray"/>
    </fill>
    <fill>
      <patternFill patternType="solid">
        <fgColor rgb="FFF1F5F9"/>
        <bgColor rgb="FFF1F5F9"/>
      </patternFill>
    </fill>
    <fill>
      <patternFill patternType="solid">
        <fgColor rgb="FFFFFFFF"/>
        <bgColor rgb="FFFFFFFF"/>
      </patternFill>
    </fill>
    <fill>
      <patternFill patternType="solid">
        <fgColor rgb="FFE7EFF6"/>
        <bgColor rgb="FFE7EFF6"/>
      </patternFill>
    </fill>
    <fill>
      <patternFill patternType="solid">
        <fgColor rgb="FFFCE5CD"/>
        <bgColor rgb="FFFCE5CD"/>
      </patternFill>
    </fill>
    <fill>
      <patternFill patternType="solid">
        <fgColor theme="0"/>
        <bgColor theme="0"/>
      </patternFill>
    </fill>
    <fill>
      <patternFill patternType="solid">
        <fgColor rgb="FFF8FAFC"/>
        <bgColor rgb="FFF8FAFC"/>
      </patternFill>
    </fill>
  </fills>
  <borders count="15">
    <border/>
    <border>
      <left style="thin">
        <color rgb="FF000000"/>
      </left>
      <right style="thin">
        <color rgb="FF000000"/>
      </right>
      <top style="thin">
        <color rgb="FF000000"/>
      </top>
      <bottom style="thin">
        <color rgb="FF000000"/>
      </bottom>
    </border>
    <border>
      <left/>
      <top/>
    </border>
    <border>
      <top/>
    </border>
    <border>
      <right/>
      <top/>
    </border>
    <border>
      <left/>
      <bottom/>
    </border>
    <border>
      <bottom/>
    </border>
    <border>
      <right/>
      <bottom/>
    </border>
    <border>
      <left/>
      <top/>
      <bottom/>
    </border>
    <border>
      <top/>
      <bottom/>
    </border>
    <border>
      <right/>
      <top/>
      <bottom/>
    </border>
    <border>
      <left/>
      <right/>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2" fillId="2" fontId="2" numFmtId="0" xfId="0" applyAlignment="1" applyBorder="1" applyFill="1" applyFont="1">
      <alignment vertical="center"/>
    </xf>
    <xf borderId="3" fillId="0" fontId="3" numFmtId="0" xfId="0" applyBorder="1" applyFont="1"/>
    <xf borderId="4" fillId="0" fontId="3" numFmtId="0" xfId="0" applyBorder="1" applyFont="1"/>
    <xf borderId="5" fillId="0" fontId="3" numFmtId="0" xfId="0" applyBorder="1" applyFont="1"/>
    <xf borderId="6" fillId="0" fontId="3" numFmtId="0" xfId="0" applyBorder="1" applyFont="1"/>
    <xf borderId="7" fillId="0" fontId="3" numFmtId="0" xfId="0" applyBorder="1" applyFont="1"/>
    <xf borderId="8" fillId="3" fontId="4" numFmtId="0" xfId="0" applyAlignment="1" applyBorder="1" applyFill="1" applyFont="1">
      <alignment vertical="center"/>
    </xf>
    <xf borderId="9" fillId="0" fontId="3" numFmtId="0" xfId="0" applyBorder="1" applyFont="1"/>
    <xf borderId="10" fillId="0" fontId="3" numFmtId="0" xfId="0" applyBorder="1" applyFont="1"/>
    <xf borderId="8" fillId="3" fontId="5" numFmtId="0" xfId="0" applyAlignment="1" applyBorder="1" applyFill="1" applyFont="1">
      <alignment vertical="center"/>
    </xf>
    <xf borderId="11" fillId="4" fontId="6" numFmtId="0" xfId="0" applyAlignment="1" applyBorder="1" applyFill="1" applyFont="1">
      <alignment horizontal="left" shrinkToFit="0" vertical="center" wrapText="1"/>
    </xf>
    <xf borderId="12" fillId="5" fontId="7" numFmtId="0" xfId="0" applyAlignment="1" applyBorder="1" applyFill="1" applyFont="1">
      <alignment horizontal="center" shrinkToFit="0" vertical="center" wrapText="1"/>
    </xf>
    <xf borderId="12" fillId="0" fontId="7" numFmtId="0" xfId="0" applyAlignment="1" applyBorder="1" applyFont="1">
      <alignment horizontal="center" shrinkToFit="0" vertical="center" wrapText="1"/>
    </xf>
    <xf borderId="11" fillId="3" fontId="6" numFmtId="0" xfId="0" applyAlignment="1" applyBorder="1" applyFill="1" applyFont="1">
      <alignment horizontal="center" shrinkToFit="0" vertical="center" wrapText="1"/>
    </xf>
    <xf borderId="11" fillId="3" fontId="8" numFmtId="0" xfId="0" applyAlignment="1" applyBorder="1" applyFill="1" applyFont="1">
      <alignment horizontal="center" shrinkToFit="0" vertical="center" wrapText="1"/>
    </xf>
    <xf borderId="1" fillId="0" fontId="7" numFmtId="0" xfId="0" applyAlignment="1" applyBorder="1" applyFont="1">
      <alignment shrinkToFit="0" wrapText="1"/>
    </xf>
    <xf borderId="1" fillId="0" fontId="9" numFmtId="0" xfId="0" applyAlignment="1" applyBorder="1" applyFont="1">
      <alignment horizontal="center" shrinkToFit="0" vertical="center" wrapText="1"/>
    </xf>
    <xf borderId="11" fillId="3" fontId="8" numFmtId="0" xfId="0" applyAlignment="1" applyBorder="1" applyFill="1" applyFont="1">
      <alignment shrinkToFit="0" vertical="center" wrapText="1"/>
    </xf>
    <xf borderId="1" fillId="0" fontId="7" numFmtId="9" xfId="0" applyAlignment="1" applyBorder="1" applyFont="1" applyNumberFormat="1">
      <alignment horizontal="center" shrinkToFit="0" vertical="center" wrapText="1"/>
    </xf>
    <xf borderId="1" fillId="0" fontId="7" numFmtId="0" xfId="0" applyAlignment="1" applyBorder="1" applyFont="1">
      <alignment horizontal="center" shrinkToFit="0" vertical="center" wrapText="1"/>
    </xf>
    <xf borderId="13" fillId="0" fontId="3" numFmtId="0" xfId="0" applyBorder="1" applyFont="1"/>
    <xf borderId="1" fillId="0" fontId="9" numFmtId="0" xfId="0" applyAlignment="1" applyBorder="1" applyFont="1">
      <alignment shrinkToFit="0" wrapText="1"/>
    </xf>
    <xf borderId="14" fillId="0" fontId="3" numFmtId="0" xfId="0" applyBorder="1" applyFont="1"/>
    <xf borderId="12" fillId="6" fontId="7" numFmtId="0" xfId="0" applyAlignment="1" applyBorder="1" applyFill="1" applyFont="1">
      <alignment horizontal="center" shrinkToFit="0" vertical="center" wrapText="1"/>
    </xf>
    <xf borderId="1" fillId="6" fontId="7" numFmtId="0" xfId="0" applyAlignment="1" applyBorder="1" applyFill="1" applyFont="1">
      <alignment shrinkToFit="0" wrapText="1"/>
    </xf>
    <xf borderId="1" fillId="6" fontId="9" numFmtId="0" xfId="0" applyAlignment="1" applyBorder="1" applyFill="1" applyFont="1">
      <alignment horizontal="center" shrinkToFit="0" vertical="center" wrapText="1"/>
    </xf>
    <xf borderId="1" fillId="6" fontId="7" numFmtId="0" xfId="0" applyAlignment="1" applyBorder="1" applyFill="1" applyFont="1">
      <alignment horizontal="center" shrinkToFit="0" vertical="center" wrapText="1"/>
    </xf>
    <xf borderId="11" fillId="7" fontId="6" numFmtId="0" xfId="0" applyAlignment="1" applyBorder="1" applyFill="1" applyFont="1">
      <alignment horizontal="center" shrinkToFit="0" vertical="center" wrapText="1"/>
    </xf>
    <xf borderId="11" fillId="7" fontId="8" numFmtId="0" xfId="0" applyAlignment="1" applyBorder="1" applyFill="1" applyFont="1">
      <alignment horizontal="center" shrinkToFit="0" vertical="center" wrapText="1"/>
    </xf>
    <xf borderId="11" fillId="7" fontId="8" numFmtId="0" xfId="0" applyAlignment="1" applyBorder="1" applyFill="1" applyFont="1">
      <alignment shrinkToFit="0" vertical="center" wrapText="1"/>
    </xf>
    <xf borderId="8" fillId="3" fontId="4" numFmtId="0" xfId="0" applyAlignment="1" applyBorder="1" applyFill="1" applyFont="1">
      <alignment shrinkToFit="0" vertical="center" wrapText="1"/>
    </xf>
    <xf borderId="0" fillId="0" fontId="10" numFmtId="0" xfId="0" applyAlignment="1" applyFont="1">
      <alignment vertical="center"/>
    </xf>
    <xf borderId="0" fillId="0" fontId="10" numFmtId="0" xfId="0" applyAlignment="1" applyFont="1">
      <alignment horizontal="center" vertical="center"/>
    </xf>
    <xf borderId="12" fillId="0" fontId="9" numFmtId="0" xfId="0" applyAlignment="1" applyBorder="1" applyFont="1">
      <alignment horizontal="center" vertical="center"/>
    </xf>
    <xf borderId="1" fillId="0" fontId="9" numFmtId="0" xfId="0" applyAlignment="1" applyBorder="1" applyFont="1">
      <alignment horizontal="center" shrinkToFit="0" wrapText="1"/>
    </xf>
    <xf borderId="11" fillId="4" fontId="6" numFmtId="0" xfId="0" applyAlignment="1" applyBorder="1" applyFill="1" applyFont="1">
      <alignment horizontal="left" readingOrder="0" shrinkToFit="0" vertical="center" wrapText="1"/>
    </xf>
    <xf borderId="1" fillId="0" fontId="9" numFmtId="0" xfId="0" applyAlignment="1" applyBorder="1" applyFont="1">
      <alignment horizontal="center"/>
    </xf>
    <xf borderId="0" fillId="0" fontId="9" numFmtId="0" xfId="0" applyFont="1"/>
    <xf borderId="11" fillId="4" fontId="6" numFmtId="0" xfId="0" applyAlignment="1" applyBorder="1" applyFill="1" applyFont="1">
      <alignment horizontal="center" readingOrder="0" shrinkToFit="0" vertical="center" wrapText="1"/>
    </xf>
    <xf borderId="11" fillId="3" fontId="8" numFmtId="0" xfId="0" applyAlignment="1" applyBorder="1" applyFill="1" applyFont="1">
      <alignment shrinkToFit="0" vertical="center" wrapText="1"/>
    </xf>
    <xf borderId="11" fillId="3" fontId="8" numFmtId="0" xfId="0" applyAlignment="1" applyBorder="1" applyFill="1" applyFont="1">
      <alignment horizontal="center" shrinkToFit="0" vertical="center" wrapText="1"/>
    </xf>
    <xf borderId="8" fillId="7" fontId="6" numFmtId="0" xfId="0" applyAlignment="1" applyBorder="1" applyFill="1" applyFont="1">
      <alignment shrinkToFit="0" vertical="center" wrapText="1"/>
    </xf>
    <xf borderId="8" fillId="7" fontId="8" numFmtId="0" xfId="0" applyAlignment="1" applyBorder="1" applyFill="1" applyFont="1">
      <alignment shrinkToFit="0" vertical="center" wrapText="1"/>
    </xf>
    <xf borderId="8" fillId="4" fontId="6" numFmtId="0" xfId="0" applyAlignment="1" applyBorder="1" applyFill="1" applyFont="1">
      <alignment horizontal="left" shrinkToFit="0" vertical="center" wrapText="1"/>
    </xf>
    <xf borderId="11" fillId="3" fontId="6" numFmtId="0" xfId="0" applyAlignment="1" applyBorder="1" applyFill="1" applyFont="1">
      <alignment shrinkToFit="0" vertical="center" wrapText="1"/>
    </xf>
    <xf borderId="8" fillId="3" fontId="8" numFmtId="0" xfId="0" applyAlignment="1" applyBorder="1" applyFill="1" applyFont="1">
      <alignment shrinkToFit="0" vertical="center" wrapText="1"/>
    </xf>
    <xf borderId="11" fillId="7" fontId="8" numFmtId="0" xfId="0" applyAlignment="1" applyBorder="1" applyFill="1" applyFont="1">
      <alignment shrinkToFit="0" vertical="center" wrapText="1"/>
    </xf>
    <xf borderId="11" fillId="7" fontId="8" numFmtId="0" xfId="0" applyAlignment="1" applyBorder="1" applyFill="1" applyFont="1">
      <alignment horizontal="center" shrinkToFit="0" vertical="center" wrapText="1"/>
    </xf>
    <xf borderId="11" fillId="7" fontId="6" numFmtId="0" xfId="0" applyAlignment="1" applyBorder="1" applyFill="1" applyFont="1">
      <alignment shrinkToFit="0" vertical="center" wrapText="1"/>
    </xf>
    <xf borderId="11" fillId="7" fontId="8" numFmtId="0" xfId="0" applyAlignment="1" applyBorder="1" applyFill="1" applyFont="1">
      <alignment readingOrder="0" shrinkToFit="0" vertical="center" wrapText="1"/>
    </xf>
    <xf borderId="0" fillId="0" fontId="10" numFmtId="0" xfId="0" applyAlignment="1" applyFont="1">
      <alignment horizontal="center"/>
    </xf>
  </cellXfs>
  <cellStyles count="1">
    <cellStyle xfId="0" name="Normal" builtinId="0"/>
  </cellStyles>
  <dxfs count="5">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2">
    <tableStyle count="4" pivot="0" name="Sprint Backlog-style">
      <tableStyleElement dxfId="1" type="headerRow"/>
      <tableStyleElement dxfId="2" type="firstRowStripe"/>
      <tableStyleElement dxfId="3" type="secondRowStripe"/>
      <tableStyleElement dxfId="4" size="0" type="wholeTable"/>
    </tableStyle>
    <tableStyle count="4" pivot="0" name="Product Backlog-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5:I9" displayName="TProductBacklog" name="TProductBacklog" id="2">
  <tableColumns count="9">
    <tableColumn name="Mã" id="1"/>
    <tableColumn name="Nhóm chức năng" id="2"/>
    <tableColumn name="Mô tả User Story" id="3"/>
    <tableColumn name="Kết quả mong đợi / Điều kiện nghiệm thu" id="4"/>
    <tableColumn name="Ưu tiên" id="5"/>
    <tableColumn name="Độ lớn (SP)" id="6"/>
    <tableColumn name="Trạng thái" id="7"/>
    <tableColumn name="Sprint dự kiến" id="8"/>
    <tableColumn name="Ghi chú" id="9"/>
  </tableColumns>
  <tableStyleInfo name="Product Backlog-style" showColumnStripes="0" showFirstColumn="1" showLastColumn="1" showRowStripes="1"/>
</table>
</file>

<file path=xl/tables/table2.xml><?xml version="1.0" encoding="utf-8"?>
<table xmlns="http://schemas.openxmlformats.org/spreadsheetml/2006/main" ref="A5:J12" displayName="TSprintBacklog" name="TSprintBacklog" id="1">
  <tableColumns count="10">
    <tableColumn name="Mã việc" id="1"/>
    <tableColumn name="Sprint" id="2"/>
    <tableColumn name="Liên kết PB" id="3"/>
    <tableColumn name="Công việc cần làm" id="4"/>
    <tableColumn name="Người thực hiện" id="5"/>
    <tableColumn name="Ước tính (giờ)" id="6"/>
    <tableColumn name="Đã làm (giờ)" id="7"/>
    <tableColumn name="Còn lại (giờ)" id="8"/>
    <tableColumn name="Trạng thái" id="9"/>
    <tableColumn name="Vướng mắc / Ghi chú" id="10"/>
  </tableColumns>
  <tableStyleInfo name="Sprint Backlo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1" width="12.0"/>
    <col customWidth="1" min="2" max="2" width="11.0"/>
    <col customWidth="1" min="3" max="4" width="13.0"/>
    <col customWidth="1" min="5" max="5" width="40.0"/>
    <col customWidth="1" min="6" max="6" width="62.0"/>
    <col customWidth="1" min="7" max="8" width="11.0"/>
    <col customWidth="1" min="9" max="9" width="13.0"/>
    <col customWidth="1" min="10" max="26" width="8.63"/>
  </cols>
  <sheetData>
    <row r="1" ht="24.75" customHeight="1">
      <c r="A1" s="2" t="s">
        <v>0</v>
      </c>
      <c r="B1" s="3"/>
      <c r="C1" s="3"/>
      <c r="D1" s="3"/>
      <c r="E1" s="3"/>
      <c r="F1" s="3"/>
      <c r="G1" s="3"/>
      <c r="H1" s="3"/>
      <c r="I1" s="4"/>
    </row>
    <row r="2" ht="24.75" customHeight="1">
      <c r="A2" s="5"/>
      <c r="B2" s="6"/>
      <c r="C2" s="6"/>
      <c r="D2" s="6"/>
      <c r="E2" s="6"/>
      <c r="F2" s="6"/>
      <c r="G2" s="6"/>
      <c r="H2" s="6"/>
      <c r="I2" s="7"/>
    </row>
    <row r="3" ht="30.0" customHeight="1">
      <c r="A3" s="8" t="s">
        <v>8</v>
      </c>
      <c r="B3" s="9"/>
      <c r="C3" s="9"/>
      <c r="D3" s="9"/>
      <c r="E3" s="9"/>
      <c r="F3" s="9"/>
      <c r="G3" s="9"/>
      <c r="H3" s="9"/>
      <c r="I3" s="10"/>
    </row>
    <row r="4" ht="13.5" customHeight="1"/>
    <row r="5" ht="25.5" customHeight="1">
      <c r="A5" s="11" t="s">
        <v>9</v>
      </c>
      <c r="B5" s="9"/>
      <c r="C5" s="9"/>
      <c r="D5" s="9"/>
      <c r="E5" s="9"/>
      <c r="F5" s="9"/>
      <c r="G5" s="9"/>
      <c r="H5" s="9"/>
      <c r="I5" s="10"/>
    </row>
    <row r="6" ht="33.75" customHeight="1">
      <c r="A6" s="12" t="s">
        <v>10</v>
      </c>
      <c r="B6" s="12" t="s">
        <v>1</v>
      </c>
      <c r="C6" s="12" t="s">
        <v>12</v>
      </c>
      <c r="D6" s="12" t="s">
        <v>13</v>
      </c>
      <c r="E6" s="12" t="s">
        <v>14</v>
      </c>
      <c r="F6" s="12" t="s">
        <v>15</v>
      </c>
      <c r="G6" s="12" t="s">
        <v>16</v>
      </c>
      <c r="H6" s="12" t="s">
        <v>17</v>
      </c>
      <c r="I6" s="12" t="s">
        <v>19</v>
      </c>
    </row>
    <row r="7" ht="150.0" customHeight="1">
      <c r="A7" s="15" t="s">
        <v>20</v>
      </c>
      <c r="B7" s="16" t="s">
        <v>22</v>
      </c>
      <c r="C7" s="16" t="s">
        <v>23</v>
      </c>
      <c r="D7" s="16" t="s">
        <v>24</v>
      </c>
      <c r="E7" s="19" t="s">
        <v>26</v>
      </c>
      <c r="F7" s="19" t="s">
        <v>27</v>
      </c>
      <c r="G7" s="16">
        <f>COUNTIFS('Product Backlog'!H:H,"Sprint 01",'Product Backlog'!I:I,"US-*")</f>
        <v>27</v>
      </c>
      <c r="H7" s="16">
        <f>COUNTIF('Sprint Backlog'!B:B,"Sprint 01")</f>
        <v>67</v>
      </c>
      <c r="I7" s="16">
        <f>SUMIF('Sprint Backlog'!B:B,"Sprint 01",'Sprint Backlog'!F:F)</f>
        <v>250</v>
      </c>
    </row>
    <row r="8" ht="150.0" customHeight="1">
      <c r="A8" s="29" t="s">
        <v>49</v>
      </c>
      <c r="B8" s="30" t="s">
        <v>51</v>
      </c>
      <c r="C8" s="30" t="s">
        <v>52</v>
      </c>
      <c r="D8" s="30" t="s">
        <v>54</v>
      </c>
      <c r="E8" s="31" t="s">
        <v>55</v>
      </c>
      <c r="F8" s="31" t="s">
        <v>57</v>
      </c>
      <c r="G8" s="30">
        <f>COUNTIFS('Product Backlog'!H:H,"Sprint 02",'Product Backlog'!I:I,"US-*")</f>
        <v>42</v>
      </c>
      <c r="H8" s="30">
        <f>COUNTIF('Sprint Backlog'!B:B,"Sprint 02")</f>
        <v>63</v>
      </c>
      <c r="I8" s="30">
        <f>SUMIF('Sprint Backlog'!B:B,"Sprint 02",'Sprint Backlog'!F:F)</f>
        <v>242</v>
      </c>
    </row>
    <row r="9" ht="150.0" customHeight="1">
      <c r="A9" s="15" t="s">
        <v>66</v>
      </c>
      <c r="B9" s="16" t="s">
        <v>68</v>
      </c>
      <c r="C9" s="16" t="s">
        <v>70</v>
      </c>
      <c r="D9" s="16" t="s">
        <v>71</v>
      </c>
      <c r="E9" s="19" t="s">
        <v>72</v>
      </c>
      <c r="F9" s="19" t="s">
        <v>73</v>
      </c>
      <c r="G9" s="16">
        <f>COUNTIFS('Product Backlog'!H:H,"Sprint 03",'Product Backlog'!I:I,"US-*")</f>
        <v>57</v>
      </c>
      <c r="H9" s="16">
        <f>COUNTIF('Sprint Backlog'!B:B,"Sprint 03")</f>
        <v>60</v>
      </c>
      <c r="I9" s="16">
        <f>SUMIF('Sprint Backlog'!B:B,"Sprint 03",'Sprint Backlog'!F:F)</f>
        <v>251</v>
      </c>
    </row>
    <row r="10" ht="24.0" customHeight="1">
      <c r="A10" s="43" t="s">
        <v>94</v>
      </c>
      <c r="B10" s="9"/>
      <c r="C10" s="9"/>
      <c r="D10" s="10"/>
      <c r="E10" s="44"/>
      <c r="F10" s="10"/>
      <c r="G10" s="29">
        <f t="shared" ref="G10:I10" si="1">SUM(G7:G9)</f>
        <v>126</v>
      </c>
      <c r="H10" s="29">
        <f t="shared" si="1"/>
        <v>190</v>
      </c>
      <c r="I10" s="29">
        <f t="shared" si="1"/>
        <v>743</v>
      </c>
    </row>
    <row r="11" ht="13.5" customHeight="1"/>
    <row r="12" ht="13.5" customHeight="1"/>
    <row r="13" ht="25.5" customHeight="1">
      <c r="A13" s="11" t="s">
        <v>97</v>
      </c>
      <c r="B13" s="9"/>
      <c r="C13" s="9"/>
      <c r="D13" s="9"/>
      <c r="E13" s="9"/>
      <c r="F13" s="9"/>
      <c r="G13" s="9"/>
      <c r="H13" s="9"/>
      <c r="I13" s="10"/>
    </row>
    <row r="14" ht="33.75" customHeight="1">
      <c r="A14" s="12" t="s">
        <v>99</v>
      </c>
      <c r="B14" s="45" t="s">
        <v>100</v>
      </c>
      <c r="C14" s="10"/>
      <c r="D14" s="45" t="s">
        <v>20</v>
      </c>
      <c r="E14" s="10"/>
      <c r="F14" s="12" t="s">
        <v>102</v>
      </c>
      <c r="G14" s="12" t="s">
        <v>103</v>
      </c>
      <c r="H14" s="12" t="s">
        <v>104</v>
      </c>
      <c r="I14" s="12" t="s">
        <v>105</v>
      </c>
    </row>
    <row r="15" ht="61.5" customHeight="1">
      <c r="A15" s="46" t="s">
        <v>29</v>
      </c>
      <c r="B15" s="47" t="s">
        <v>106</v>
      </c>
      <c r="C15" s="10"/>
      <c r="D15" s="47" t="s">
        <v>110</v>
      </c>
      <c r="E15" s="10"/>
      <c r="F15" s="19" t="s">
        <v>112</v>
      </c>
      <c r="G15" s="16">
        <f>SUMIFS('Sprint Backlog'!F:F,'Sprint Backlog'!E:E,"Xuân",'Sprint Backlog'!B:B,"Sprint 01")</f>
        <v>28</v>
      </c>
      <c r="H15" s="16">
        <f>SUMIFS('Sprint Backlog'!F:F,'Sprint Backlog'!E:E,"Xuân",'Sprint Backlog'!B:B,"Sprint 02")</f>
        <v>33</v>
      </c>
      <c r="I15" s="16">
        <f>SUMIFS('Sprint Backlog'!F:F,'Sprint Backlog'!E:E,"Xuân",'Sprint Backlog'!B:B,"Sprint 03")</f>
        <v>31</v>
      </c>
    </row>
    <row r="16" ht="61.5" customHeight="1">
      <c r="A16" s="50" t="s">
        <v>25</v>
      </c>
      <c r="B16" s="44" t="s">
        <v>118</v>
      </c>
      <c r="C16" s="10"/>
      <c r="D16" s="44" t="s">
        <v>120</v>
      </c>
      <c r="E16" s="10"/>
      <c r="F16" s="31" t="s">
        <v>122</v>
      </c>
      <c r="G16" s="30">
        <f>SUMIFS('Sprint Backlog'!F:F,'Sprint Backlog'!E:E,"Hiếu",'Sprint Backlog'!B:B,"Sprint 01")</f>
        <v>35</v>
      </c>
      <c r="H16" s="30">
        <f>SUMIFS('Sprint Backlog'!F:F,'Sprint Backlog'!E:E,"Hiếu",'Sprint Backlog'!B:B,"Sprint 02")</f>
        <v>33</v>
      </c>
      <c r="I16" s="30">
        <f>SUMIFS('Sprint Backlog'!F:F,'Sprint Backlog'!E:E,"Hiếu",'Sprint Backlog'!B:B,"Sprint 03")</f>
        <v>36</v>
      </c>
    </row>
    <row r="17" ht="61.5" customHeight="1">
      <c r="A17" s="46" t="s">
        <v>31</v>
      </c>
      <c r="B17" s="47" t="s">
        <v>128</v>
      </c>
      <c r="C17" s="10"/>
      <c r="D17" s="47" t="s">
        <v>129</v>
      </c>
      <c r="E17" s="10"/>
      <c r="F17" s="19" t="s">
        <v>132</v>
      </c>
      <c r="G17" s="16">
        <f>SUMIFS('Sprint Backlog'!F:F,'Sprint Backlog'!E:E,"Minh",'Sprint Backlog'!B:B,"Sprint 01")</f>
        <v>35</v>
      </c>
      <c r="H17" s="16">
        <f>SUMIFS('Sprint Backlog'!F:F,'Sprint Backlog'!E:E,"Minh",'Sprint Backlog'!B:B,"Sprint 02")</f>
        <v>35</v>
      </c>
      <c r="I17" s="16">
        <f>SUMIFS('Sprint Backlog'!F:F,'Sprint Backlog'!E:E,"Minh",'Sprint Backlog'!B:B,"Sprint 03")</f>
        <v>37</v>
      </c>
    </row>
    <row r="18" ht="61.5" customHeight="1">
      <c r="A18" s="50" t="s">
        <v>33</v>
      </c>
      <c r="B18" s="44" t="s">
        <v>138</v>
      </c>
      <c r="C18" s="10"/>
      <c r="D18" s="44" t="s">
        <v>140</v>
      </c>
      <c r="E18" s="10"/>
      <c r="F18" s="31" t="s">
        <v>141</v>
      </c>
      <c r="G18" s="30">
        <f>SUMIFS('Sprint Backlog'!F:F,'Sprint Backlog'!E:E,"Đan Anh",'Sprint Backlog'!B:B,"Sprint 01")</f>
        <v>38</v>
      </c>
      <c r="H18" s="30">
        <f>SUMIFS('Sprint Backlog'!F:F,'Sprint Backlog'!E:E,"Đan Anh",'Sprint Backlog'!B:B,"Sprint 02")</f>
        <v>33</v>
      </c>
      <c r="I18" s="30">
        <f>SUMIFS('Sprint Backlog'!F:F,'Sprint Backlog'!E:E,"Đan Anh",'Sprint Backlog'!B:B,"Sprint 03")</f>
        <v>35</v>
      </c>
    </row>
    <row r="19" ht="61.5" customHeight="1">
      <c r="A19" s="46" t="s">
        <v>35</v>
      </c>
      <c r="B19" s="47" t="s">
        <v>151</v>
      </c>
      <c r="C19" s="10"/>
      <c r="D19" s="47" t="s">
        <v>153</v>
      </c>
      <c r="E19" s="10"/>
      <c r="F19" s="19" t="s">
        <v>154</v>
      </c>
      <c r="G19" s="16">
        <f>SUMIFS('Sprint Backlog'!F:F,'Sprint Backlog'!E:E,"Tuấn",'Sprint Backlog'!B:B,"Sprint 01")</f>
        <v>38</v>
      </c>
      <c r="H19" s="16">
        <f>SUMIFS('Sprint Backlog'!F:F,'Sprint Backlog'!E:E,"Tuấn",'Sprint Backlog'!B:B,"Sprint 02")</f>
        <v>33</v>
      </c>
      <c r="I19" s="16">
        <f>SUMIFS('Sprint Backlog'!F:F,'Sprint Backlog'!E:E,"Tuấn",'Sprint Backlog'!B:B,"Sprint 03")</f>
        <v>37</v>
      </c>
    </row>
    <row r="20" ht="61.5" customHeight="1">
      <c r="A20" s="50" t="s">
        <v>37</v>
      </c>
      <c r="B20" s="44" t="s">
        <v>166</v>
      </c>
      <c r="C20" s="10"/>
      <c r="D20" s="44" t="s">
        <v>169</v>
      </c>
      <c r="E20" s="10"/>
      <c r="F20" s="31" t="s">
        <v>175</v>
      </c>
      <c r="G20" s="30">
        <f>SUMIFS('Sprint Backlog'!F:F,'Sprint Backlog'!E:E,"Lộc",'Sprint Backlog'!B:B,"Sprint 01")</f>
        <v>38</v>
      </c>
      <c r="H20" s="30">
        <f>SUMIFS('Sprint Backlog'!F:F,'Sprint Backlog'!E:E,"Lộc",'Sprint Backlog'!B:B,"Sprint 02")</f>
        <v>38</v>
      </c>
      <c r="I20" s="30">
        <f>SUMIFS('Sprint Backlog'!F:F,'Sprint Backlog'!E:E,"Lộc",'Sprint Backlog'!B:B,"Sprint 03")</f>
        <v>38</v>
      </c>
    </row>
    <row r="21" ht="61.5" customHeight="1">
      <c r="A21" s="46" t="s">
        <v>39</v>
      </c>
      <c r="B21" s="47" t="s">
        <v>209</v>
      </c>
      <c r="C21" s="10"/>
      <c r="D21" s="47" t="s">
        <v>212</v>
      </c>
      <c r="E21" s="10"/>
      <c r="F21" s="19" t="s">
        <v>213</v>
      </c>
      <c r="G21" s="16">
        <f>SUMIFS('Sprint Backlog'!F:F,'Sprint Backlog'!E:E,"Phong",'Sprint Backlog'!B:B,"Sprint 01")</f>
        <v>38</v>
      </c>
      <c r="H21" s="16">
        <f>SUMIFS('Sprint Backlog'!F:F,'Sprint Backlog'!E:E,"Phong",'Sprint Backlog'!B:B,"Sprint 02")</f>
        <v>37</v>
      </c>
      <c r="I21" s="16">
        <f>SUMIFS('Sprint Backlog'!F:F,'Sprint Backlog'!E:E,"Phong",'Sprint Backlog'!B:B,"Sprint 03")</f>
        <v>37</v>
      </c>
    </row>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22">
    <mergeCell ref="A1:I2"/>
    <mergeCell ref="A3:I3"/>
    <mergeCell ref="A5:I5"/>
    <mergeCell ref="A10:D10"/>
    <mergeCell ref="E10:F10"/>
    <mergeCell ref="A13:I13"/>
    <mergeCell ref="D14:E14"/>
    <mergeCell ref="B18:C18"/>
    <mergeCell ref="D18:E18"/>
    <mergeCell ref="B19:C19"/>
    <mergeCell ref="D19:E19"/>
    <mergeCell ref="B20:C20"/>
    <mergeCell ref="D20:E20"/>
    <mergeCell ref="B21:C21"/>
    <mergeCell ref="D21:E21"/>
    <mergeCell ref="B14:C14"/>
    <mergeCell ref="B15:C15"/>
    <mergeCell ref="D15:E15"/>
    <mergeCell ref="B16:C16"/>
    <mergeCell ref="D16:E16"/>
    <mergeCell ref="B17:C17"/>
    <mergeCell ref="D17:E17"/>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2.63" defaultRowHeight="15.0"/>
  <cols>
    <col customWidth="1" min="1" max="1" width="13.0"/>
    <col customWidth="1" min="2" max="2" width="22.0"/>
    <col customWidth="1" min="3" max="3" width="44.0"/>
    <col customWidth="1" min="4" max="4" width="55.0"/>
    <col customWidth="1" min="5" max="6" width="16.0"/>
    <col customWidth="1" min="7" max="7" width="19.0"/>
    <col customWidth="1" min="8" max="8" width="20.0"/>
    <col customWidth="1" min="9" max="9" width="33.0"/>
  </cols>
  <sheetData>
    <row r="1" ht="24.75" customHeight="1">
      <c r="A1" s="2" t="s">
        <v>47</v>
      </c>
      <c r="B1" s="3"/>
      <c r="C1" s="3"/>
      <c r="D1" s="3"/>
      <c r="E1" s="3"/>
      <c r="F1" s="3"/>
      <c r="G1" s="3"/>
      <c r="H1" s="3"/>
      <c r="I1" s="4"/>
    </row>
    <row r="2" ht="24.75" customHeight="1">
      <c r="A2" s="5"/>
      <c r="B2" s="6"/>
      <c r="C2" s="6"/>
      <c r="D2" s="6"/>
      <c r="E2" s="6"/>
      <c r="F2" s="6"/>
      <c r="G2" s="6"/>
      <c r="H2" s="6"/>
      <c r="I2" s="7"/>
    </row>
    <row r="3" ht="30.0" customHeight="1">
      <c r="A3" s="8" t="s">
        <v>59</v>
      </c>
      <c r="B3" s="9"/>
      <c r="C3" s="9"/>
      <c r="D3" s="9"/>
      <c r="E3" s="9"/>
      <c r="F3" s="9"/>
      <c r="G3" s="9"/>
      <c r="H3" s="9"/>
      <c r="I3" s="10"/>
    </row>
    <row r="4" ht="13.5" customHeight="1">
      <c r="A4" s="33"/>
      <c r="B4" s="33"/>
      <c r="C4" s="33"/>
      <c r="D4" s="33"/>
      <c r="E4" s="33"/>
      <c r="F4" s="34"/>
      <c r="G4" s="34"/>
      <c r="H4" s="34"/>
      <c r="I4" s="33"/>
    </row>
    <row r="5" ht="33.75" customHeight="1">
      <c r="A5" s="37" t="s">
        <v>67</v>
      </c>
      <c r="B5" s="37" t="s">
        <v>80</v>
      </c>
      <c r="C5" s="37" t="s">
        <v>83</v>
      </c>
      <c r="D5" s="37" t="s">
        <v>86</v>
      </c>
      <c r="E5" s="37" t="s">
        <v>88</v>
      </c>
      <c r="F5" s="40" t="s">
        <v>90</v>
      </c>
      <c r="G5" s="40" t="s">
        <v>85</v>
      </c>
      <c r="H5" s="40" t="s">
        <v>93</v>
      </c>
      <c r="I5" s="37" t="s">
        <v>95</v>
      </c>
    </row>
    <row r="6" ht="66.0" customHeight="1">
      <c r="A6" s="41" t="s">
        <v>91</v>
      </c>
      <c r="B6" s="41" t="s">
        <v>96</v>
      </c>
      <c r="C6" s="41" t="s">
        <v>98</v>
      </c>
      <c r="D6" s="41" t="s">
        <v>101</v>
      </c>
      <c r="E6" s="41" t="s">
        <v>108</v>
      </c>
      <c r="F6" s="42">
        <v>8.0</v>
      </c>
      <c r="G6" s="42" t="s">
        <v>114</v>
      </c>
      <c r="H6" s="42" t="s">
        <v>20</v>
      </c>
      <c r="I6" s="41" t="s">
        <v>116</v>
      </c>
    </row>
    <row r="7" ht="66.0" customHeight="1">
      <c r="A7" s="48" t="s">
        <v>113</v>
      </c>
      <c r="B7" s="48" t="s">
        <v>117</v>
      </c>
      <c r="C7" s="48" t="s">
        <v>119</v>
      </c>
      <c r="D7" s="48" t="s">
        <v>123</v>
      </c>
      <c r="E7" s="48" t="s">
        <v>108</v>
      </c>
      <c r="F7" s="49">
        <v>8.0</v>
      </c>
      <c r="G7" s="49" t="s">
        <v>114</v>
      </c>
      <c r="H7" s="49" t="s">
        <v>20</v>
      </c>
      <c r="I7" s="48" t="s">
        <v>127</v>
      </c>
    </row>
    <row r="8" ht="51.0" customHeight="1">
      <c r="A8" s="41" t="s">
        <v>131</v>
      </c>
      <c r="B8" s="41" t="s">
        <v>133</v>
      </c>
      <c r="C8" s="41" t="s">
        <v>136</v>
      </c>
      <c r="D8" s="41" t="s">
        <v>137</v>
      </c>
      <c r="E8" s="41" t="s">
        <v>108</v>
      </c>
      <c r="F8" s="42">
        <v>5.0</v>
      </c>
      <c r="G8" s="42" t="s">
        <v>114</v>
      </c>
      <c r="H8" s="42" t="s">
        <v>20</v>
      </c>
      <c r="I8" s="41" t="s">
        <v>143</v>
      </c>
    </row>
    <row r="9" ht="51.0" customHeight="1">
      <c r="A9" s="48" t="s">
        <v>144</v>
      </c>
      <c r="B9" s="48" t="s">
        <v>146</v>
      </c>
      <c r="C9" s="48" t="s">
        <v>147</v>
      </c>
      <c r="D9" s="48" t="s">
        <v>148</v>
      </c>
      <c r="E9" s="48" t="s">
        <v>108</v>
      </c>
      <c r="F9" s="49">
        <v>5.0</v>
      </c>
      <c r="G9" s="49" t="s">
        <v>114</v>
      </c>
      <c r="H9" s="49" t="s">
        <v>20</v>
      </c>
      <c r="I9" s="48" t="s">
        <v>156</v>
      </c>
    </row>
    <row r="10" ht="141.0" customHeight="1">
      <c r="A10" s="19" t="s">
        <v>158</v>
      </c>
      <c r="B10" s="19" t="s">
        <v>118</v>
      </c>
      <c r="C10" s="19" t="s">
        <v>160</v>
      </c>
      <c r="D10" s="19" t="s">
        <v>161</v>
      </c>
      <c r="E10" s="19" t="s">
        <v>108</v>
      </c>
      <c r="F10" s="16">
        <v>5.0</v>
      </c>
      <c r="G10" s="16" t="s">
        <v>114</v>
      </c>
      <c r="H10" s="16" t="s">
        <v>20</v>
      </c>
      <c r="I10" s="19" t="s">
        <v>162</v>
      </c>
    </row>
    <row r="11" ht="126.0" customHeight="1">
      <c r="A11" s="31" t="s">
        <v>163</v>
      </c>
      <c r="B11" s="31" t="s">
        <v>118</v>
      </c>
      <c r="C11" s="31" t="s">
        <v>164</v>
      </c>
      <c r="D11" s="31" t="s">
        <v>165</v>
      </c>
      <c r="E11" s="31" t="s">
        <v>108</v>
      </c>
      <c r="F11" s="30">
        <v>5.0</v>
      </c>
      <c r="G11" s="30" t="s">
        <v>114</v>
      </c>
      <c r="H11" s="30" t="s">
        <v>20</v>
      </c>
      <c r="I11" s="31" t="s">
        <v>167</v>
      </c>
    </row>
    <row r="12" ht="111.0" customHeight="1">
      <c r="A12" s="19" t="s">
        <v>168</v>
      </c>
      <c r="B12" s="19" t="s">
        <v>118</v>
      </c>
      <c r="C12" s="19" t="s">
        <v>170</v>
      </c>
      <c r="D12" s="19" t="s">
        <v>172</v>
      </c>
      <c r="E12" s="19" t="s">
        <v>108</v>
      </c>
      <c r="F12" s="16">
        <v>3.0</v>
      </c>
      <c r="G12" s="16" t="s">
        <v>114</v>
      </c>
      <c r="H12" s="16" t="s">
        <v>20</v>
      </c>
      <c r="I12" s="19" t="s">
        <v>176</v>
      </c>
    </row>
    <row r="13" ht="156.0" customHeight="1">
      <c r="A13" s="31" t="s">
        <v>177</v>
      </c>
      <c r="B13" s="31" t="s">
        <v>118</v>
      </c>
      <c r="C13" s="31" t="s">
        <v>178</v>
      </c>
      <c r="D13" s="31" t="s">
        <v>180</v>
      </c>
      <c r="E13" s="31" t="s">
        <v>108</v>
      </c>
      <c r="F13" s="30">
        <v>5.0</v>
      </c>
      <c r="G13" s="30" t="s">
        <v>114</v>
      </c>
      <c r="H13" s="30" t="s">
        <v>20</v>
      </c>
      <c r="I13" s="31" t="s">
        <v>184</v>
      </c>
    </row>
    <row r="14" ht="126.0" customHeight="1">
      <c r="A14" s="19" t="s">
        <v>185</v>
      </c>
      <c r="B14" s="19" t="s">
        <v>118</v>
      </c>
      <c r="C14" s="19" t="s">
        <v>186</v>
      </c>
      <c r="D14" s="19" t="s">
        <v>188</v>
      </c>
      <c r="E14" s="19" t="s">
        <v>108</v>
      </c>
      <c r="F14" s="16">
        <v>8.0</v>
      </c>
      <c r="G14" s="16" t="s">
        <v>114</v>
      </c>
      <c r="H14" s="16" t="s">
        <v>20</v>
      </c>
      <c r="I14" s="19" t="s">
        <v>191</v>
      </c>
    </row>
    <row r="15" ht="126.0" customHeight="1">
      <c r="A15" s="31" t="s">
        <v>192</v>
      </c>
      <c r="B15" s="31" t="s">
        <v>118</v>
      </c>
      <c r="C15" s="31" t="s">
        <v>194</v>
      </c>
      <c r="D15" s="31" t="s">
        <v>196</v>
      </c>
      <c r="E15" s="31" t="s">
        <v>108</v>
      </c>
      <c r="F15" s="30">
        <v>8.0</v>
      </c>
      <c r="G15" s="30" t="s">
        <v>114</v>
      </c>
      <c r="H15" s="30" t="s">
        <v>20</v>
      </c>
      <c r="I15" s="31" t="s">
        <v>197</v>
      </c>
    </row>
    <row r="16" ht="156.0" customHeight="1">
      <c r="A16" s="19" t="s">
        <v>199</v>
      </c>
      <c r="B16" s="19" t="s">
        <v>200</v>
      </c>
      <c r="C16" s="19" t="s">
        <v>202</v>
      </c>
      <c r="D16" s="19" t="s">
        <v>203</v>
      </c>
      <c r="E16" s="19" t="s">
        <v>108</v>
      </c>
      <c r="F16" s="16">
        <v>5.0</v>
      </c>
      <c r="G16" s="16" t="s">
        <v>114</v>
      </c>
      <c r="H16" s="16" t="s">
        <v>20</v>
      </c>
      <c r="I16" s="19" t="s">
        <v>205</v>
      </c>
    </row>
    <row r="17" ht="141.0" customHeight="1">
      <c r="A17" s="31" t="s">
        <v>207</v>
      </c>
      <c r="B17" s="31" t="s">
        <v>200</v>
      </c>
      <c r="C17" s="31" t="s">
        <v>208</v>
      </c>
      <c r="D17" s="31" t="s">
        <v>216</v>
      </c>
      <c r="E17" s="31" t="s">
        <v>108</v>
      </c>
      <c r="F17" s="30">
        <v>3.0</v>
      </c>
      <c r="G17" s="30" t="s">
        <v>114</v>
      </c>
      <c r="H17" s="30" t="s">
        <v>20</v>
      </c>
      <c r="I17" s="31" t="s">
        <v>219</v>
      </c>
    </row>
    <row r="18" ht="156.0" customHeight="1">
      <c r="A18" s="19" t="s">
        <v>220</v>
      </c>
      <c r="B18" s="19" t="s">
        <v>200</v>
      </c>
      <c r="C18" s="19" t="s">
        <v>221</v>
      </c>
      <c r="D18" s="19" t="s">
        <v>223</v>
      </c>
      <c r="E18" s="19" t="s">
        <v>108</v>
      </c>
      <c r="F18" s="16">
        <v>5.0</v>
      </c>
      <c r="G18" s="16" t="s">
        <v>114</v>
      </c>
      <c r="H18" s="16" t="s">
        <v>20</v>
      </c>
      <c r="I18" s="19" t="s">
        <v>226</v>
      </c>
    </row>
    <row r="19" ht="141.0" customHeight="1">
      <c r="A19" s="31" t="s">
        <v>227</v>
      </c>
      <c r="B19" s="31" t="s">
        <v>200</v>
      </c>
      <c r="C19" s="31" t="s">
        <v>229</v>
      </c>
      <c r="D19" s="31" t="s">
        <v>231</v>
      </c>
      <c r="E19" s="31" t="s">
        <v>108</v>
      </c>
      <c r="F19" s="30">
        <v>3.0</v>
      </c>
      <c r="G19" s="30" t="s">
        <v>114</v>
      </c>
      <c r="H19" s="30" t="s">
        <v>20</v>
      </c>
      <c r="I19" s="31" t="s">
        <v>233</v>
      </c>
    </row>
    <row r="20" ht="156.0" customHeight="1">
      <c r="A20" s="19" t="s">
        <v>234</v>
      </c>
      <c r="B20" s="19" t="s">
        <v>200</v>
      </c>
      <c r="C20" s="19" t="s">
        <v>236</v>
      </c>
      <c r="D20" s="19" t="s">
        <v>237</v>
      </c>
      <c r="E20" s="19" t="s">
        <v>108</v>
      </c>
      <c r="F20" s="16">
        <v>3.0</v>
      </c>
      <c r="G20" s="16" t="s">
        <v>114</v>
      </c>
      <c r="H20" s="16" t="s">
        <v>20</v>
      </c>
      <c r="I20" s="19" t="s">
        <v>241</v>
      </c>
    </row>
    <row r="21" ht="126.0" customHeight="1">
      <c r="A21" s="31" t="s">
        <v>243</v>
      </c>
      <c r="B21" s="31" t="s">
        <v>209</v>
      </c>
      <c r="C21" s="31" t="s">
        <v>245</v>
      </c>
      <c r="D21" s="31" t="s">
        <v>246</v>
      </c>
      <c r="E21" s="31" t="s">
        <v>108</v>
      </c>
      <c r="F21" s="30">
        <v>3.0</v>
      </c>
      <c r="G21" s="30" t="s">
        <v>114</v>
      </c>
      <c r="H21" s="30" t="s">
        <v>20</v>
      </c>
      <c r="I21" s="31" t="s">
        <v>249</v>
      </c>
    </row>
    <row r="22" ht="111.0" customHeight="1">
      <c r="A22" s="19" t="s">
        <v>251</v>
      </c>
      <c r="B22" s="19" t="s">
        <v>209</v>
      </c>
      <c r="C22" s="19" t="s">
        <v>253</v>
      </c>
      <c r="D22" s="19" t="s">
        <v>254</v>
      </c>
      <c r="E22" s="19" t="s">
        <v>108</v>
      </c>
      <c r="F22" s="16">
        <v>3.0</v>
      </c>
      <c r="G22" s="16" t="s">
        <v>114</v>
      </c>
      <c r="H22" s="16" t="s">
        <v>20</v>
      </c>
      <c r="I22" s="19" t="s">
        <v>257</v>
      </c>
    </row>
    <row r="23" ht="111.0" customHeight="1">
      <c r="A23" s="31" t="s">
        <v>259</v>
      </c>
      <c r="B23" s="31" t="s">
        <v>209</v>
      </c>
      <c r="C23" s="31" t="s">
        <v>261</v>
      </c>
      <c r="D23" s="31" t="s">
        <v>262</v>
      </c>
      <c r="E23" s="31" t="s">
        <v>108</v>
      </c>
      <c r="F23" s="30">
        <v>3.0</v>
      </c>
      <c r="G23" s="30" t="s">
        <v>114</v>
      </c>
      <c r="H23" s="30" t="s">
        <v>20</v>
      </c>
      <c r="I23" s="31" t="s">
        <v>265</v>
      </c>
    </row>
    <row r="24" ht="96.0" customHeight="1">
      <c r="A24" s="19" t="s">
        <v>266</v>
      </c>
      <c r="B24" s="19" t="s">
        <v>209</v>
      </c>
      <c r="C24" s="19" t="s">
        <v>267</v>
      </c>
      <c r="D24" s="19" t="s">
        <v>268</v>
      </c>
      <c r="E24" s="19" t="s">
        <v>108</v>
      </c>
      <c r="F24" s="16">
        <v>5.0</v>
      </c>
      <c r="G24" s="16" t="s">
        <v>114</v>
      </c>
      <c r="H24" s="16" t="s">
        <v>20</v>
      </c>
      <c r="I24" s="19" t="s">
        <v>271</v>
      </c>
    </row>
    <row r="25" ht="66.0" customHeight="1">
      <c r="A25" s="31" t="s">
        <v>272</v>
      </c>
      <c r="B25" s="31" t="s">
        <v>209</v>
      </c>
      <c r="C25" s="31" t="s">
        <v>274</v>
      </c>
      <c r="D25" s="31" t="s">
        <v>276</v>
      </c>
      <c r="E25" s="31" t="s">
        <v>108</v>
      </c>
      <c r="F25" s="30">
        <v>3.0</v>
      </c>
      <c r="G25" s="30" t="s">
        <v>114</v>
      </c>
      <c r="H25" s="30" t="s">
        <v>20</v>
      </c>
      <c r="I25" s="31" t="s">
        <v>278</v>
      </c>
    </row>
    <row r="26" ht="141.0" customHeight="1">
      <c r="A26" s="19" t="s">
        <v>279</v>
      </c>
      <c r="B26" s="19" t="s">
        <v>281</v>
      </c>
      <c r="C26" s="19" t="s">
        <v>283</v>
      </c>
      <c r="D26" s="19" t="s">
        <v>284</v>
      </c>
      <c r="E26" s="19" t="s">
        <v>108</v>
      </c>
      <c r="F26" s="16">
        <v>5.0</v>
      </c>
      <c r="G26" s="16" t="s">
        <v>287</v>
      </c>
      <c r="H26" s="16" t="s">
        <v>20</v>
      </c>
      <c r="I26" s="19" t="s">
        <v>288</v>
      </c>
    </row>
    <row r="27" ht="156.0" customHeight="1">
      <c r="A27" s="31" t="s">
        <v>290</v>
      </c>
      <c r="B27" s="31" t="s">
        <v>281</v>
      </c>
      <c r="C27" s="31" t="s">
        <v>293</v>
      </c>
      <c r="D27" s="31" t="s">
        <v>294</v>
      </c>
      <c r="E27" s="31" t="s">
        <v>108</v>
      </c>
      <c r="F27" s="30">
        <v>5.0</v>
      </c>
      <c r="G27" s="30" t="s">
        <v>114</v>
      </c>
      <c r="H27" s="30" t="s">
        <v>20</v>
      </c>
      <c r="I27" s="31" t="s">
        <v>297</v>
      </c>
    </row>
    <row r="28" ht="141.0" customHeight="1">
      <c r="A28" s="19" t="s">
        <v>298</v>
      </c>
      <c r="B28" s="19" t="s">
        <v>281</v>
      </c>
      <c r="C28" s="19" t="s">
        <v>301</v>
      </c>
      <c r="D28" s="19" t="s">
        <v>302</v>
      </c>
      <c r="E28" s="19" t="s">
        <v>108</v>
      </c>
      <c r="F28" s="16">
        <v>5.0</v>
      </c>
      <c r="G28" s="16" t="s">
        <v>114</v>
      </c>
      <c r="H28" s="16" t="s">
        <v>20</v>
      </c>
      <c r="I28" s="19" t="s">
        <v>305</v>
      </c>
    </row>
    <row r="29" ht="141.0" customHeight="1">
      <c r="A29" s="31" t="s">
        <v>306</v>
      </c>
      <c r="B29" s="31" t="s">
        <v>281</v>
      </c>
      <c r="C29" s="31" t="s">
        <v>309</v>
      </c>
      <c r="D29" s="31" t="s">
        <v>310</v>
      </c>
      <c r="E29" s="31" t="s">
        <v>108</v>
      </c>
      <c r="F29" s="30">
        <v>3.0</v>
      </c>
      <c r="G29" s="30" t="s">
        <v>114</v>
      </c>
      <c r="H29" s="30" t="s">
        <v>20</v>
      </c>
      <c r="I29" s="31" t="s">
        <v>313</v>
      </c>
    </row>
    <row r="30" ht="156.0" customHeight="1">
      <c r="A30" s="19" t="s">
        <v>314</v>
      </c>
      <c r="B30" s="19" t="s">
        <v>281</v>
      </c>
      <c r="C30" s="19" t="s">
        <v>317</v>
      </c>
      <c r="D30" s="19" t="s">
        <v>319</v>
      </c>
      <c r="E30" s="19" t="s">
        <v>108</v>
      </c>
      <c r="F30" s="16">
        <v>5.0</v>
      </c>
      <c r="G30" s="16" t="s">
        <v>114</v>
      </c>
      <c r="H30" s="16" t="s">
        <v>20</v>
      </c>
      <c r="I30" s="19" t="s">
        <v>322</v>
      </c>
    </row>
    <row r="31" ht="156.0" customHeight="1">
      <c r="A31" s="31" t="s">
        <v>323</v>
      </c>
      <c r="B31" s="31" t="s">
        <v>281</v>
      </c>
      <c r="C31" s="31" t="s">
        <v>325</v>
      </c>
      <c r="D31" s="31" t="s">
        <v>327</v>
      </c>
      <c r="E31" s="31" t="s">
        <v>108</v>
      </c>
      <c r="F31" s="30">
        <v>3.0</v>
      </c>
      <c r="G31" s="30" t="s">
        <v>114</v>
      </c>
      <c r="H31" s="30" t="s">
        <v>20</v>
      </c>
      <c r="I31" s="31" t="s">
        <v>330</v>
      </c>
    </row>
    <row r="32" ht="126.0" customHeight="1">
      <c r="A32" s="19" t="s">
        <v>331</v>
      </c>
      <c r="B32" s="19" t="s">
        <v>209</v>
      </c>
      <c r="C32" s="19" t="s">
        <v>332</v>
      </c>
      <c r="D32" s="19" t="s">
        <v>334</v>
      </c>
      <c r="E32" s="19" t="s">
        <v>108</v>
      </c>
      <c r="F32" s="16">
        <v>3.0</v>
      </c>
      <c r="G32" s="16" t="s">
        <v>114</v>
      </c>
      <c r="H32" s="16" t="s">
        <v>20</v>
      </c>
      <c r="I32" s="19" t="s">
        <v>337</v>
      </c>
    </row>
    <row r="33" ht="111.0" customHeight="1">
      <c r="A33" s="31" t="s">
        <v>339</v>
      </c>
      <c r="B33" s="31" t="s">
        <v>209</v>
      </c>
      <c r="C33" s="31" t="s">
        <v>340</v>
      </c>
      <c r="D33" s="31" t="s">
        <v>343</v>
      </c>
      <c r="E33" s="31" t="s">
        <v>108</v>
      </c>
      <c r="F33" s="30">
        <v>3.0</v>
      </c>
      <c r="G33" s="30" t="s">
        <v>114</v>
      </c>
      <c r="H33" s="30" t="s">
        <v>20</v>
      </c>
      <c r="I33" s="31" t="s">
        <v>346</v>
      </c>
    </row>
    <row r="34" ht="81.0" customHeight="1">
      <c r="A34" s="19" t="s">
        <v>347</v>
      </c>
      <c r="B34" s="19" t="s">
        <v>209</v>
      </c>
      <c r="C34" s="19" t="s">
        <v>349</v>
      </c>
      <c r="D34" s="19" t="s">
        <v>351</v>
      </c>
      <c r="E34" s="19" t="s">
        <v>108</v>
      </c>
      <c r="F34" s="16">
        <v>3.0</v>
      </c>
      <c r="G34" s="16" t="s">
        <v>114</v>
      </c>
      <c r="H34" s="16" t="s">
        <v>20</v>
      </c>
      <c r="I34" s="19" t="s">
        <v>354</v>
      </c>
    </row>
    <row r="35" ht="126.0" customHeight="1">
      <c r="A35" s="31" t="s">
        <v>355</v>
      </c>
      <c r="B35" s="31" t="s">
        <v>281</v>
      </c>
      <c r="C35" s="31" t="s">
        <v>356</v>
      </c>
      <c r="D35" s="31" t="s">
        <v>360</v>
      </c>
      <c r="E35" s="31" t="s">
        <v>108</v>
      </c>
      <c r="F35" s="30">
        <v>5.0</v>
      </c>
      <c r="G35" s="30" t="s">
        <v>114</v>
      </c>
      <c r="H35" s="30" t="s">
        <v>20</v>
      </c>
      <c r="I35" s="31" t="s">
        <v>361</v>
      </c>
    </row>
    <row r="36" ht="126.0" customHeight="1">
      <c r="A36" s="19" t="s">
        <v>362</v>
      </c>
      <c r="B36" s="19" t="s">
        <v>281</v>
      </c>
      <c r="C36" s="19" t="s">
        <v>364</v>
      </c>
      <c r="D36" s="19" t="s">
        <v>366</v>
      </c>
      <c r="E36" s="19" t="s">
        <v>108</v>
      </c>
      <c r="F36" s="16">
        <v>3.0</v>
      </c>
      <c r="G36" s="16" t="s">
        <v>114</v>
      </c>
      <c r="H36" s="16" t="s">
        <v>20</v>
      </c>
      <c r="I36" s="19" t="s">
        <v>368</v>
      </c>
    </row>
    <row r="37" ht="37.5" customHeight="1">
      <c r="A37" s="31" t="s">
        <v>134</v>
      </c>
      <c r="B37" s="31" t="s">
        <v>370</v>
      </c>
      <c r="C37" s="31" t="s">
        <v>371</v>
      </c>
      <c r="D37" s="31" t="s">
        <v>373</v>
      </c>
      <c r="E37" s="31" t="s">
        <v>108</v>
      </c>
      <c r="F37" s="30">
        <v>3.0</v>
      </c>
      <c r="G37" s="30" t="s">
        <v>114</v>
      </c>
      <c r="H37" s="30" t="s">
        <v>20</v>
      </c>
      <c r="I37" s="31" t="s">
        <v>375</v>
      </c>
    </row>
    <row r="38" ht="111.0" customHeight="1">
      <c r="A38" s="19" t="s">
        <v>377</v>
      </c>
      <c r="B38" s="19" t="s">
        <v>118</v>
      </c>
      <c r="C38" s="19" t="s">
        <v>379</v>
      </c>
      <c r="D38" s="19" t="s">
        <v>380</v>
      </c>
      <c r="E38" s="19" t="s">
        <v>381</v>
      </c>
      <c r="F38" s="16">
        <v>5.0</v>
      </c>
      <c r="G38" s="16" t="s">
        <v>382</v>
      </c>
      <c r="H38" s="16" t="s">
        <v>49</v>
      </c>
      <c r="I38" s="19" t="s">
        <v>384</v>
      </c>
    </row>
    <row r="39" ht="126.0" customHeight="1">
      <c r="A39" s="31" t="s">
        <v>385</v>
      </c>
      <c r="B39" s="31" t="s">
        <v>118</v>
      </c>
      <c r="C39" s="31" t="s">
        <v>387</v>
      </c>
      <c r="D39" s="31" t="s">
        <v>388</v>
      </c>
      <c r="E39" s="31" t="s">
        <v>381</v>
      </c>
      <c r="F39" s="30">
        <v>5.0</v>
      </c>
      <c r="G39" s="30" t="s">
        <v>382</v>
      </c>
      <c r="H39" s="30" t="s">
        <v>49</v>
      </c>
      <c r="I39" s="31" t="s">
        <v>392</v>
      </c>
    </row>
    <row r="40" ht="111.0" customHeight="1">
      <c r="A40" s="19" t="s">
        <v>394</v>
      </c>
      <c r="B40" s="19" t="s">
        <v>118</v>
      </c>
      <c r="C40" s="19" t="s">
        <v>396</v>
      </c>
      <c r="D40" s="19" t="s">
        <v>397</v>
      </c>
      <c r="E40" s="19" t="s">
        <v>381</v>
      </c>
      <c r="F40" s="16">
        <v>5.0</v>
      </c>
      <c r="G40" s="16" t="s">
        <v>382</v>
      </c>
      <c r="H40" s="16" t="s">
        <v>49</v>
      </c>
      <c r="I40" s="19" t="s">
        <v>400</v>
      </c>
    </row>
    <row r="41" ht="111.0" customHeight="1">
      <c r="A41" s="31" t="s">
        <v>401</v>
      </c>
      <c r="B41" s="31" t="s">
        <v>118</v>
      </c>
      <c r="C41" s="31" t="s">
        <v>403</v>
      </c>
      <c r="D41" s="31" t="s">
        <v>404</v>
      </c>
      <c r="E41" s="31" t="s">
        <v>381</v>
      </c>
      <c r="F41" s="30">
        <v>5.0</v>
      </c>
      <c r="G41" s="30" t="s">
        <v>382</v>
      </c>
      <c r="H41" s="30" t="s">
        <v>49</v>
      </c>
      <c r="I41" s="31" t="s">
        <v>406</v>
      </c>
    </row>
    <row r="42" ht="66.0" customHeight="1">
      <c r="A42" s="19" t="s">
        <v>407</v>
      </c>
      <c r="B42" s="19" t="s">
        <v>409</v>
      </c>
      <c r="C42" s="19" t="s">
        <v>411</v>
      </c>
      <c r="D42" s="19" t="s">
        <v>413</v>
      </c>
      <c r="E42" s="19" t="s">
        <v>108</v>
      </c>
      <c r="F42" s="16">
        <v>8.0</v>
      </c>
      <c r="G42" s="16" t="s">
        <v>382</v>
      </c>
      <c r="H42" s="16" t="s">
        <v>49</v>
      </c>
      <c r="I42" s="19" t="s">
        <v>415</v>
      </c>
    </row>
    <row r="43" ht="51.0" customHeight="1">
      <c r="A43" s="31" t="s">
        <v>417</v>
      </c>
      <c r="B43" s="31" t="s">
        <v>419</v>
      </c>
      <c r="C43" s="31" t="s">
        <v>420</v>
      </c>
      <c r="D43" s="31" t="s">
        <v>421</v>
      </c>
      <c r="E43" s="31" t="s">
        <v>108</v>
      </c>
      <c r="F43" s="30">
        <v>5.0</v>
      </c>
      <c r="G43" s="30" t="s">
        <v>382</v>
      </c>
      <c r="H43" s="30" t="s">
        <v>49</v>
      </c>
      <c r="I43" s="31" t="s">
        <v>424</v>
      </c>
    </row>
    <row r="44" ht="111.0" customHeight="1">
      <c r="A44" s="19" t="s">
        <v>425</v>
      </c>
      <c r="B44" s="19" t="s">
        <v>426</v>
      </c>
      <c r="C44" s="19" t="s">
        <v>427</v>
      </c>
      <c r="D44" s="19" t="s">
        <v>429</v>
      </c>
      <c r="E44" s="19" t="s">
        <v>108</v>
      </c>
      <c r="F44" s="16">
        <v>3.0</v>
      </c>
      <c r="G44" s="16" t="s">
        <v>382</v>
      </c>
      <c r="H44" s="16" t="s">
        <v>49</v>
      </c>
      <c r="I44" s="19" t="s">
        <v>432</v>
      </c>
    </row>
    <row r="45" ht="111.0" customHeight="1">
      <c r="A45" s="31" t="s">
        <v>434</v>
      </c>
      <c r="B45" s="31" t="s">
        <v>426</v>
      </c>
      <c r="C45" s="31" t="s">
        <v>435</v>
      </c>
      <c r="D45" s="31" t="s">
        <v>437</v>
      </c>
      <c r="E45" s="31" t="s">
        <v>108</v>
      </c>
      <c r="F45" s="30">
        <v>3.0</v>
      </c>
      <c r="G45" s="30" t="s">
        <v>382</v>
      </c>
      <c r="H45" s="30" t="s">
        <v>49</v>
      </c>
      <c r="I45" s="31" t="s">
        <v>441</v>
      </c>
    </row>
    <row r="46" ht="111.0" customHeight="1">
      <c r="A46" s="19" t="s">
        <v>442</v>
      </c>
      <c r="B46" s="19" t="s">
        <v>426</v>
      </c>
      <c r="C46" s="19" t="s">
        <v>444</v>
      </c>
      <c r="D46" s="19" t="s">
        <v>445</v>
      </c>
      <c r="E46" s="19" t="s">
        <v>108</v>
      </c>
      <c r="F46" s="16">
        <v>3.0</v>
      </c>
      <c r="G46" s="16" t="s">
        <v>382</v>
      </c>
      <c r="H46" s="16" t="s">
        <v>49</v>
      </c>
      <c r="I46" s="19" t="s">
        <v>449</v>
      </c>
    </row>
    <row r="47" ht="111.0" customHeight="1">
      <c r="A47" s="31" t="s">
        <v>450</v>
      </c>
      <c r="B47" s="31" t="s">
        <v>426</v>
      </c>
      <c r="C47" s="31" t="s">
        <v>451</v>
      </c>
      <c r="D47" s="31" t="s">
        <v>452</v>
      </c>
      <c r="E47" s="31" t="s">
        <v>108</v>
      </c>
      <c r="F47" s="30">
        <v>3.0</v>
      </c>
      <c r="G47" s="30" t="s">
        <v>382</v>
      </c>
      <c r="H47" s="30" t="s">
        <v>49</v>
      </c>
      <c r="I47" s="31" t="s">
        <v>453</v>
      </c>
    </row>
    <row r="48" ht="111.0" customHeight="1">
      <c r="A48" s="19" t="s">
        <v>454</v>
      </c>
      <c r="B48" s="19" t="s">
        <v>426</v>
      </c>
      <c r="C48" s="19" t="s">
        <v>455</v>
      </c>
      <c r="D48" s="19" t="s">
        <v>456</v>
      </c>
      <c r="E48" s="19" t="s">
        <v>108</v>
      </c>
      <c r="F48" s="16">
        <v>3.0</v>
      </c>
      <c r="G48" s="16" t="s">
        <v>382</v>
      </c>
      <c r="H48" s="16" t="s">
        <v>49</v>
      </c>
      <c r="I48" s="19" t="s">
        <v>459</v>
      </c>
    </row>
    <row r="49" ht="81.0" customHeight="1">
      <c r="A49" s="31" t="s">
        <v>460</v>
      </c>
      <c r="B49" s="31" t="s">
        <v>426</v>
      </c>
      <c r="C49" s="31" t="s">
        <v>462</v>
      </c>
      <c r="D49" s="31" t="s">
        <v>463</v>
      </c>
      <c r="E49" s="31" t="s">
        <v>108</v>
      </c>
      <c r="F49" s="30">
        <v>3.0</v>
      </c>
      <c r="G49" s="30" t="s">
        <v>382</v>
      </c>
      <c r="H49" s="30" t="s">
        <v>49</v>
      </c>
      <c r="I49" s="31" t="s">
        <v>466</v>
      </c>
    </row>
    <row r="50" ht="111.0" customHeight="1">
      <c r="A50" s="19" t="s">
        <v>467</v>
      </c>
      <c r="B50" s="19" t="s">
        <v>209</v>
      </c>
      <c r="C50" s="19" t="s">
        <v>469</v>
      </c>
      <c r="D50" s="19" t="s">
        <v>470</v>
      </c>
      <c r="E50" s="19" t="s">
        <v>381</v>
      </c>
      <c r="F50" s="16">
        <v>3.0</v>
      </c>
      <c r="G50" s="16" t="s">
        <v>382</v>
      </c>
      <c r="H50" s="16" t="s">
        <v>49</v>
      </c>
      <c r="I50" s="19" t="s">
        <v>472</v>
      </c>
    </row>
    <row r="51" ht="141.0" customHeight="1">
      <c r="A51" s="31" t="s">
        <v>473</v>
      </c>
      <c r="B51" s="31" t="s">
        <v>281</v>
      </c>
      <c r="C51" s="31" t="s">
        <v>474</v>
      </c>
      <c r="D51" s="31" t="s">
        <v>476</v>
      </c>
      <c r="E51" s="31" t="s">
        <v>381</v>
      </c>
      <c r="F51" s="30">
        <v>3.0</v>
      </c>
      <c r="G51" s="30" t="s">
        <v>382</v>
      </c>
      <c r="H51" s="30" t="s">
        <v>49</v>
      </c>
      <c r="I51" s="31" t="s">
        <v>478</v>
      </c>
    </row>
    <row r="52" ht="96.0" customHeight="1">
      <c r="A52" s="19" t="s">
        <v>479</v>
      </c>
      <c r="B52" s="19" t="s">
        <v>281</v>
      </c>
      <c r="C52" s="19" t="s">
        <v>481</v>
      </c>
      <c r="D52" s="19" t="s">
        <v>483</v>
      </c>
      <c r="E52" s="19" t="s">
        <v>381</v>
      </c>
      <c r="F52" s="16">
        <v>5.0</v>
      </c>
      <c r="G52" s="16" t="s">
        <v>382</v>
      </c>
      <c r="H52" s="16" t="s">
        <v>49</v>
      </c>
      <c r="I52" s="19" t="s">
        <v>484</v>
      </c>
    </row>
    <row r="53" ht="111.0" customHeight="1">
      <c r="A53" s="31" t="s">
        <v>488</v>
      </c>
      <c r="B53" s="31" t="s">
        <v>281</v>
      </c>
      <c r="C53" s="31" t="s">
        <v>489</v>
      </c>
      <c r="D53" s="31" t="s">
        <v>490</v>
      </c>
      <c r="E53" s="31" t="s">
        <v>381</v>
      </c>
      <c r="F53" s="30">
        <v>5.0</v>
      </c>
      <c r="G53" s="30" t="s">
        <v>382</v>
      </c>
      <c r="H53" s="30" t="s">
        <v>49</v>
      </c>
      <c r="I53" s="31" t="s">
        <v>495</v>
      </c>
    </row>
    <row r="54" ht="156.0" customHeight="1">
      <c r="A54" s="19" t="s">
        <v>496</v>
      </c>
      <c r="B54" s="19" t="s">
        <v>281</v>
      </c>
      <c r="C54" s="19" t="s">
        <v>498</v>
      </c>
      <c r="D54" s="19" t="s">
        <v>500</v>
      </c>
      <c r="E54" s="19" t="s">
        <v>381</v>
      </c>
      <c r="F54" s="16">
        <v>5.0</v>
      </c>
      <c r="G54" s="16" t="s">
        <v>287</v>
      </c>
      <c r="H54" s="16" t="s">
        <v>49</v>
      </c>
      <c r="I54" s="19" t="s">
        <v>504</v>
      </c>
    </row>
    <row r="55" ht="156.0" customHeight="1">
      <c r="A55" s="31" t="s">
        <v>507</v>
      </c>
      <c r="B55" s="31" t="s">
        <v>508</v>
      </c>
      <c r="C55" s="31" t="s">
        <v>509</v>
      </c>
      <c r="D55" s="31" t="s">
        <v>511</v>
      </c>
      <c r="E55" s="31" t="s">
        <v>108</v>
      </c>
      <c r="F55" s="30">
        <v>5.0</v>
      </c>
      <c r="G55" s="30" t="s">
        <v>382</v>
      </c>
      <c r="H55" s="30" t="s">
        <v>49</v>
      </c>
      <c r="I55" s="31" t="s">
        <v>514</v>
      </c>
    </row>
    <row r="56" ht="126.0" customHeight="1">
      <c r="A56" s="19" t="s">
        <v>515</v>
      </c>
      <c r="B56" s="19" t="s">
        <v>508</v>
      </c>
      <c r="C56" s="19" t="s">
        <v>519</v>
      </c>
      <c r="D56" s="19" t="s">
        <v>521</v>
      </c>
      <c r="E56" s="19" t="s">
        <v>108</v>
      </c>
      <c r="F56" s="16">
        <v>2.0</v>
      </c>
      <c r="G56" s="16" t="s">
        <v>382</v>
      </c>
      <c r="H56" s="16" t="s">
        <v>49</v>
      </c>
      <c r="I56" s="19" t="s">
        <v>524</v>
      </c>
    </row>
    <row r="57" ht="111.0" customHeight="1">
      <c r="A57" s="31" t="s">
        <v>526</v>
      </c>
      <c r="B57" s="31" t="s">
        <v>508</v>
      </c>
      <c r="C57" s="31" t="s">
        <v>527</v>
      </c>
      <c r="D57" s="31" t="s">
        <v>529</v>
      </c>
      <c r="E57" s="31" t="s">
        <v>108</v>
      </c>
      <c r="F57" s="30">
        <v>3.0</v>
      </c>
      <c r="G57" s="30" t="s">
        <v>382</v>
      </c>
      <c r="H57" s="30" t="s">
        <v>49</v>
      </c>
      <c r="I57" s="31" t="s">
        <v>534</v>
      </c>
    </row>
    <row r="58" ht="141.0" customHeight="1">
      <c r="A58" s="19" t="s">
        <v>536</v>
      </c>
      <c r="B58" s="19" t="s">
        <v>508</v>
      </c>
      <c r="C58" s="19" t="s">
        <v>537</v>
      </c>
      <c r="D58" s="19" t="s">
        <v>538</v>
      </c>
      <c r="E58" s="19" t="s">
        <v>108</v>
      </c>
      <c r="F58" s="16">
        <v>8.0</v>
      </c>
      <c r="G58" s="16" t="s">
        <v>382</v>
      </c>
      <c r="H58" s="16" t="s">
        <v>49</v>
      </c>
      <c r="I58" s="19" t="s">
        <v>541</v>
      </c>
    </row>
    <row r="59" ht="111.0" customHeight="1">
      <c r="A59" s="31" t="s">
        <v>542</v>
      </c>
      <c r="B59" s="31" t="s">
        <v>508</v>
      </c>
      <c r="C59" s="31" t="s">
        <v>544</v>
      </c>
      <c r="D59" s="31" t="s">
        <v>546</v>
      </c>
      <c r="E59" s="31" t="s">
        <v>108</v>
      </c>
      <c r="F59" s="30">
        <v>5.0</v>
      </c>
      <c r="G59" s="30" t="s">
        <v>382</v>
      </c>
      <c r="H59" s="30" t="s">
        <v>49</v>
      </c>
      <c r="I59" s="31" t="s">
        <v>549</v>
      </c>
    </row>
    <row r="60" ht="96.0" customHeight="1">
      <c r="A60" s="19" t="s">
        <v>550</v>
      </c>
      <c r="B60" s="19" t="s">
        <v>508</v>
      </c>
      <c r="C60" s="19" t="s">
        <v>553</v>
      </c>
      <c r="D60" s="19" t="s">
        <v>555</v>
      </c>
      <c r="E60" s="19" t="s">
        <v>108</v>
      </c>
      <c r="F60" s="16">
        <v>3.0</v>
      </c>
      <c r="G60" s="16" t="s">
        <v>382</v>
      </c>
      <c r="H60" s="16" t="s">
        <v>49</v>
      </c>
      <c r="I60" s="19" t="s">
        <v>558</v>
      </c>
    </row>
    <row r="61" ht="126.0" customHeight="1">
      <c r="A61" s="31" t="s">
        <v>559</v>
      </c>
      <c r="B61" s="31" t="s">
        <v>508</v>
      </c>
      <c r="C61" s="31" t="s">
        <v>560</v>
      </c>
      <c r="D61" s="31" t="s">
        <v>562</v>
      </c>
      <c r="E61" s="31" t="s">
        <v>108</v>
      </c>
      <c r="F61" s="30">
        <v>5.0</v>
      </c>
      <c r="G61" s="30" t="s">
        <v>382</v>
      </c>
      <c r="H61" s="30" t="s">
        <v>49</v>
      </c>
      <c r="I61" s="31" t="s">
        <v>565</v>
      </c>
    </row>
    <row r="62" ht="111.0" customHeight="1">
      <c r="A62" s="19" t="s">
        <v>568</v>
      </c>
      <c r="B62" s="19" t="s">
        <v>508</v>
      </c>
      <c r="C62" s="19" t="s">
        <v>569</v>
      </c>
      <c r="D62" s="19" t="s">
        <v>570</v>
      </c>
      <c r="E62" s="19" t="s">
        <v>108</v>
      </c>
      <c r="F62" s="16">
        <v>5.0</v>
      </c>
      <c r="G62" s="16" t="s">
        <v>382</v>
      </c>
      <c r="H62" s="16" t="s">
        <v>49</v>
      </c>
      <c r="I62" s="19" t="s">
        <v>573</v>
      </c>
    </row>
    <row r="63" ht="111.0" customHeight="1">
      <c r="A63" s="31" t="s">
        <v>574</v>
      </c>
      <c r="B63" s="31" t="s">
        <v>508</v>
      </c>
      <c r="C63" s="31" t="s">
        <v>576</v>
      </c>
      <c r="D63" s="31" t="s">
        <v>578</v>
      </c>
      <c r="E63" s="31" t="s">
        <v>108</v>
      </c>
      <c r="F63" s="30">
        <v>2.0</v>
      </c>
      <c r="G63" s="30" t="s">
        <v>382</v>
      </c>
      <c r="H63" s="30" t="s">
        <v>49</v>
      </c>
      <c r="I63" s="31" t="s">
        <v>581</v>
      </c>
    </row>
    <row r="64" ht="111.0" customHeight="1">
      <c r="A64" s="19" t="s">
        <v>582</v>
      </c>
      <c r="B64" s="19" t="s">
        <v>508</v>
      </c>
      <c r="C64" s="19" t="s">
        <v>583</v>
      </c>
      <c r="D64" s="19" t="s">
        <v>586</v>
      </c>
      <c r="E64" s="19" t="s">
        <v>108</v>
      </c>
      <c r="F64" s="16">
        <v>3.0</v>
      </c>
      <c r="G64" s="16" t="s">
        <v>382</v>
      </c>
      <c r="H64" s="16" t="s">
        <v>49</v>
      </c>
      <c r="I64" s="19" t="s">
        <v>589</v>
      </c>
    </row>
    <row r="65" ht="126.0" customHeight="1">
      <c r="A65" s="31" t="s">
        <v>591</v>
      </c>
      <c r="B65" s="31" t="s">
        <v>508</v>
      </c>
      <c r="C65" s="31" t="s">
        <v>592</v>
      </c>
      <c r="D65" s="31" t="s">
        <v>593</v>
      </c>
      <c r="E65" s="31" t="s">
        <v>108</v>
      </c>
      <c r="F65" s="30">
        <v>5.0</v>
      </c>
      <c r="G65" s="30" t="s">
        <v>382</v>
      </c>
      <c r="H65" s="30" t="s">
        <v>49</v>
      </c>
      <c r="I65" s="31" t="s">
        <v>594</v>
      </c>
    </row>
    <row r="66" ht="126.0" customHeight="1">
      <c r="A66" s="19" t="s">
        <v>596</v>
      </c>
      <c r="B66" s="19" t="s">
        <v>508</v>
      </c>
      <c r="C66" s="19" t="s">
        <v>598</v>
      </c>
      <c r="D66" s="19" t="s">
        <v>599</v>
      </c>
      <c r="E66" s="19" t="s">
        <v>108</v>
      </c>
      <c r="F66" s="16">
        <v>8.0</v>
      </c>
      <c r="G66" s="16" t="s">
        <v>382</v>
      </c>
      <c r="H66" s="16" t="s">
        <v>49</v>
      </c>
      <c r="I66" s="19" t="s">
        <v>602</v>
      </c>
    </row>
    <row r="67" ht="126.0" customHeight="1">
      <c r="A67" s="31" t="s">
        <v>603</v>
      </c>
      <c r="B67" s="31" t="s">
        <v>508</v>
      </c>
      <c r="C67" s="31" t="s">
        <v>605</v>
      </c>
      <c r="D67" s="31" t="s">
        <v>607</v>
      </c>
      <c r="E67" s="31" t="s">
        <v>108</v>
      </c>
      <c r="F67" s="30">
        <v>2.0</v>
      </c>
      <c r="G67" s="30" t="s">
        <v>382</v>
      </c>
      <c r="H67" s="30" t="s">
        <v>49</v>
      </c>
      <c r="I67" s="31" t="s">
        <v>609</v>
      </c>
    </row>
    <row r="68" ht="141.0" customHeight="1">
      <c r="A68" s="19" t="s">
        <v>612</v>
      </c>
      <c r="B68" s="19" t="s">
        <v>200</v>
      </c>
      <c r="C68" s="19" t="s">
        <v>613</v>
      </c>
      <c r="D68" s="19" t="s">
        <v>614</v>
      </c>
      <c r="E68" s="19" t="s">
        <v>108</v>
      </c>
      <c r="F68" s="16">
        <v>3.0</v>
      </c>
      <c r="G68" s="16" t="s">
        <v>382</v>
      </c>
      <c r="H68" s="16" t="s">
        <v>49</v>
      </c>
      <c r="I68" s="19" t="s">
        <v>617</v>
      </c>
    </row>
    <row r="69" ht="156.0" customHeight="1">
      <c r="A69" s="31" t="s">
        <v>619</v>
      </c>
      <c r="B69" s="31" t="s">
        <v>200</v>
      </c>
      <c r="C69" s="31" t="s">
        <v>621</v>
      </c>
      <c r="D69" s="31" t="s">
        <v>622</v>
      </c>
      <c r="E69" s="31" t="s">
        <v>108</v>
      </c>
      <c r="F69" s="30">
        <v>8.0</v>
      </c>
      <c r="G69" s="30" t="s">
        <v>382</v>
      </c>
      <c r="H69" s="30" t="s">
        <v>49</v>
      </c>
      <c r="I69" s="31" t="s">
        <v>625</v>
      </c>
    </row>
    <row r="70" ht="126.0" customHeight="1">
      <c r="A70" s="19" t="s">
        <v>626</v>
      </c>
      <c r="B70" s="19" t="s">
        <v>200</v>
      </c>
      <c r="C70" s="19" t="s">
        <v>629</v>
      </c>
      <c r="D70" s="19" t="s">
        <v>630</v>
      </c>
      <c r="E70" s="19" t="s">
        <v>108</v>
      </c>
      <c r="F70" s="16">
        <v>5.0</v>
      </c>
      <c r="G70" s="16" t="s">
        <v>382</v>
      </c>
      <c r="H70" s="16" t="s">
        <v>49</v>
      </c>
      <c r="I70" s="19" t="s">
        <v>633</v>
      </c>
    </row>
    <row r="71" ht="141.0" customHeight="1">
      <c r="A71" s="31" t="s">
        <v>634</v>
      </c>
      <c r="B71" s="31" t="s">
        <v>200</v>
      </c>
      <c r="C71" s="31" t="s">
        <v>635</v>
      </c>
      <c r="D71" s="31" t="s">
        <v>638</v>
      </c>
      <c r="E71" s="31" t="s">
        <v>108</v>
      </c>
      <c r="F71" s="30">
        <v>5.0</v>
      </c>
      <c r="G71" s="30" t="s">
        <v>382</v>
      </c>
      <c r="H71" s="30" t="s">
        <v>49</v>
      </c>
      <c r="I71" s="31" t="s">
        <v>640</v>
      </c>
    </row>
    <row r="72" ht="141.0" customHeight="1">
      <c r="A72" s="19" t="s">
        <v>642</v>
      </c>
      <c r="B72" s="19" t="s">
        <v>200</v>
      </c>
      <c r="C72" s="19" t="s">
        <v>643</v>
      </c>
      <c r="D72" s="19" t="s">
        <v>645</v>
      </c>
      <c r="E72" s="19" t="s">
        <v>108</v>
      </c>
      <c r="F72" s="16">
        <v>5.0</v>
      </c>
      <c r="G72" s="16" t="s">
        <v>382</v>
      </c>
      <c r="H72" s="16" t="s">
        <v>49</v>
      </c>
      <c r="I72" s="19" t="s">
        <v>647</v>
      </c>
    </row>
    <row r="73" ht="126.0" customHeight="1">
      <c r="A73" s="31" t="s">
        <v>530</v>
      </c>
      <c r="B73" s="31" t="s">
        <v>118</v>
      </c>
      <c r="C73" s="31" t="s">
        <v>650</v>
      </c>
      <c r="D73" s="31" t="s">
        <v>651</v>
      </c>
      <c r="E73" s="31" t="s">
        <v>653</v>
      </c>
      <c r="F73" s="30">
        <v>3.0</v>
      </c>
      <c r="G73" s="30" t="s">
        <v>382</v>
      </c>
      <c r="H73" s="30" t="s">
        <v>49</v>
      </c>
      <c r="I73" s="31" t="s">
        <v>655</v>
      </c>
    </row>
    <row r="74" ht="156.0" customHeight="1">
      <c r="A74" s="19" t="s">
        <v>656</v>
      </c>
      <c r="B74" s="19" t="s">
        <v>128</v>
      </c>
      <c r="C74" s="19" t="s">
        <v>659</v>
      </c>
      <c r="D74" s="19" t="s">
        <v>660</v>
      </c>
      <c r="E74" s="19" t="s">
        <v>108</v>
      </c>
      <c r="F74" s="16">
        <v>5.0</v>
      </c>
      <c r="G74" s="16" t="s">
        <v>382</v>
      </c>
      <c r="H74" s="16" t="s">
        <v>49</v>
      </c>
      <c r="I74" s="19" t="s">
        <v>663</v>
      </c>
    </row>
    <row r="75" ht="141.0" customHeight="1">
      <c r="A75" s="31" t="s">
        <v>566</v>
      </c>
      <c r="B75" s="31" t="s">
        <v>128</v>
      </c>
      <c r="C75" s="31" t="s">
        <v>665</v>
      </c>
      <c r="D75" s="31" t="s">
        <v>667</v>
      </c>
      <c r="E75" s="31" t="s">
        <v>108</v>
      </c>
      <c r="F75" s="30">
        <v>3.0</v>
      </c>
      <c r="G75" s="30" t="s">
        <v>382</v>
      </c>
      <c r="H75" s="30" t="s">
        <v>49</v>
      </c>
      <c r="I75" s="31" t="s">
        <v>670</v>
      </c>
    </row>
    <row r="76" ht="141.0" customHeight="1">
      <c r="A76" s="19" t="s">
        <v>671</v>
      </c>
      <c r="B76" s="19" t="s">
        <v>128</v>
      </c>
      <c r="C76" s="19" t="s">
        <v>672</v>
      </c>
      <c r="D76" s="19" t="s">
        <v>675</v>
      </c>
      <c r="E76" s="19" t="s">
        <v>108</v>
      </c>
      <c r="F76" s="16">
        <v>3.0</v>
      </c>
      <c r="G76" s="16" t="s">
        <v>382</v>
      </c>
      <c r="H76" s="16" t="s">
        <v>49</v>
      </c>
      <c r="I76" s="19" t="s">
        <v>679</v>
      </c>
    </row>
    <row r="77" ht="126.0" customHeight="1">
      <c r="A77" s="31" t="s">
        <v>680</v>
      </c>
      <c r="B77" s="31" t="s">
        <v>128</v>
      </c>
      <c r="C77" s="31" t="s">
        <v>681</v>
      </c>
      <c r="D77" s="31" t="s">
        <v>683</v>
      </c>
      <c r="E77" s="31" t="s">
        <v>108</v>
      </c>
      <c r="F77" s="30">
        <v>5.0</v>
      </c>
      <c r="G77" s="30" t="s">
        <v>382</v>
      </c>
      <c r="H77" s="30" t="s">
        <v>49</v>
      </c>
      <c r="I77" s="31" t="s">
        <v>686</v>
      </c>
    </row>
    <row r="78" ht="141.0" customHeight="1">
      <c r="A78" s="19" t="s">
        <v>689</v>
      </c>
      <c r="B78" s="19" t="s">
        <v>128</v>
      </c>
      <c r="C78" s="19" t="s">
        <v>690</v>
      </c>
      <c r="D78" s="19" t="s">
        <v>692</v>
      </c>
      <c r="E78" s="19" t="s">
        <v>108</v>
      </c>
      <c r="F78" s="16">
        <v>3.0</v>
      </c>
      <c r="G78" s="16" t="s">
        <v>382</v>
      </c>
      <c r="H78" s="16" t="s">
        <v>49</v>
      </c>
      <c r="I78" s="19" t="s">
        <v>694</v>
      </c>
    </row>
    <row r="79" ht="156.0" customHeight="1">
      <c r="A79" s="31" t="s">
        <v>696</v>
      </c>
      <c r="B79" s="31" t="s">
        <v>128</v>
      </c>
      <c r="C79" s="31" t="s">
        <v>698</v>
      </c>
      <c r="D79" s="31" t="s">
        <v>700</v>
      </c>
      <c r="E79" s="31" t="s">
        <v>108</v>
      </c>
      <c r="F79" s="30">
        <v>3.0</v>
      </c>
      <c r="G79" s="30" t="s">
        <v>382</v>
      </c>
      <c r="H79" s="30" t="s">
        <v>49</v>
      </c>
      <c r="I79" s="31" t="s">
        <v>702</v>
      </c>
    </row>
    <row r="80" ht="141.0" customHeight="1">
      <c r="A80" s="19" t="s">
        <v>705</v>
      </c>
      <c r="B80" s="19" t="s">
        <v>128</v>
      </c>
      <c r="C80" s="19" t="s">
        <v>707</v>
      </c>
      <c r="D80" s="19" t="s">
        <v>708</v>
      </c>
      <c r="E80" s="19" t="s">
        <v>108</v>
      </c>
      <c r="F80" s="16">
        <v>5.0</v>
      </c>
      <c r="G80" s="16" t="s">
        <v>382</v>
      </c>
      <c r="H80" s="16" t="s">
        <v>49</v>
      </c>
      <c r="I80" s="19" t="s">
        <v>711</v>
      </c>
    </row>
    <row r="81" ht="111.0" customHeight="1">
      <c r="A81" s="31" t="s">
        <v>585</v>
      </c>
      <c r="B81" s="31" t="s">
        <v>128</v>
      </c>
      <c r="C81" s="31" t="s">
        <v>714</v>
      </c>
      <c r="D81" s="31" t="s">
        <v>715</v>
      </c>
      <c r="E81" s="31" t="s">
        <v>108</v>
      </c>
      <c r="F81" s="30">
        <v>5.0</v>
      </c>
      <c r="G81" s="30" t="s">
        <v>382</v>
      </c>
      <c r="H81" s="30" t="s">
        <v>49</v>
      </c>
      <c r="I81" s="31" t="s">
        <v>718</v>
      </c>
    </row>
    <row r="82" ht="37.5" customHeight="1">
      <c r="A82" s="19" t="s">
        <v>486</v>
      </c>
      <c r="B82" s="19" t="s">
        <v>370</v>
      </c>
      <c r="C82" s="19" t="s">
        <v>721</v>
      </c>
      <c r="D82" s="19" t="s">
        <v>722</v>
      </c>
      <c r="E82" s="19" t="s">
        <v>108</v>
      </c>
      <c r="F82" s="16">
        <v>3.0</v>
      </c>
      <c r="G82" s="16" t="s">
        <v>382</v>
      </c>
      <c r="H82" s="16" t="s">
        <v>49</v>
      </c>
      <c r="I82" s="19" t="s">
        <v>725</v>
      </c>
    </row>
    <row r="83" ht="141.0" customHeight="1">
      <c r="A83" s="31" t="s">
        <v>726</v>
      </c>
      <c r="B83" s="31" t="s">
        <v>727</v>
      </c>
      <c r="C83" s="31" t="s">
        <v>729</v>
      </c>
      <c r="D83" s="31" t="s">
        <v>731</v>
      </c>
      <c r="E83" s="31" t="s">
        <v>381</v>
      </c>
      <c r="F83" s="30">
        <v>5.0</v>
      </c>
      <c r="G83" s="30" t="s">
        <v>382</v>
      </c>
      <c r="H83" s="30" t="s">
        <v>66</v>
      </c>
      <c r="I83" s="31" t="s">
        <v>732</v>
      </c>
    </row>
    <row r="84" ht="126.0" customHeight="1">
      <c r="A84" s="19" t="s">
        <v>734</v>
      </c>
      <c r="B84" s="19" t="s">
        <v>727</v>
      </c>
      <c r="C84" s="19" t="s">
        <v>735</v>
      </c>
      <c r="D84" s="19" t="s">
        <v>737</v>
      </c>
      <c r="E84" s="19" t="s">
        <v>381</v>
      </c>
      <c r="F84" s="16">
        <v>5.0</v>
      </c>
      <c r="G84" s="16" t="s">
        <v>382</v>
      </c>
      <c r="H84" s="16" t="s">
        <v>66</v>
      </c>
      <c r="I84" s="19" t="s">
        <v>738</v>
      </c>
    </row>
    <row r="85" ht="126.0" customHeight="1">
      <c r="A85" s="31" t="s">
        <v>740</v>
      </c>
      <c r="B85" s="31" t="s">
        <v>727</v>
      </c>
      <c r="C85" s="31" t="s">
        <v>742</v>
      </c>
      <c r="D85" s="31" t="s">
        <v>743</v>
      </c>
      <c r="E85" s="31" t="s">
        <v>381</v>
      </c>
      <c r="F85" s="30">
        <v>3.0</v>
      </c>
      <c r="G85" s="30" t="s">
        <v>382</v>
      </c>
      <c r="H85" s="30" t="s">
        <v>66</v>
      </c>
      <c r="I85" s="31" t="s">
        <v>744</v>
      </c>
    </row>
    <row r="86" ht="156.0" customHeight="1">
      <c r="A86" s="19" t="s">
        <v>746</v>
      </c>
      <c r="B86" s="19" t="s">
        <v>747</v>
      </c>
      <c r="C86" s="19" t="s">
        <v>749</v>
      </c>
      <c r="D86" s="19" t="s">
        <v>750</v>
      </c>
      <c r="E86" s="19" t="s">
        <v>108</v>
      </c>
      <c r="F86" s="16">
        <v>5.0</v>
      </c>
      <c r="G86" s="16" t="s">
        <v>382</v>
      </c>
      <c r="H86" s="16" t="s">
        <v>66</v>
      </c>
      <c r="I86" s="19" t="s">
        <v>752</v>
      </c>
    </row>
    <row r="87" ht="126.0" customHeight="1">
      <c r="A87" s="31" t="s">
        <v>754</v>
      </c>
      <c r="B87" s="31" t="s">
        <v>747</v>
      </c>
      <c r="C87" s="31" t="s">
        <v>755</v>
      </c>
      <c r="D87" s="31" t="s">
        <v>756</v>
      </c>
      <c r="E87" s="31" t="s">
        <v>108</v>
      </c>
      <c r="F87" s="30">
        <v>3.0</v>
      </c>
      <c r="G87" s="30" t="s">
        <v>382</v>
      </c>
      <c r="H87" s="30" t="s">
        <v>66</v>
      </c>
      <c r="I87" s="31" t="s">
        <v>758</v>
      </c>
    </row>
    <row r="88" ht="126.0" customHeight="1">
      <c r="A88" s="19" t="s">
        <v>761</v>
      </c>
      <c r="B88" s="19" t="s">
        <v>747</v>
      </c>
      <c r="C88" s="19" t="s">
        <v>762</v>
      </c>
      <c r="D88" s="19" t="s">
        <v>763</v>
      </c>
      <c r="E88" s="19" t="s">
        <v>108</v>
      </c>
      <c r="F88" s="16">
        <v>5.0</v>
      </c>
      <c r="G88" s="16" t="s">
        <v>382</v>
      </c>
      <c r="H88" s="16" t="s">
        <v>66</v>
      </c>
      <c r="I88" s="19" t="s">
        <v>766</v>
      </c>
    </row>
    <row r="89" ht="126.0" customHeight="1">
      <c r="A89" s="31" t="s">
        <v>767</v>
      </c>
      <c r="B89" s="31" t="s">
        <v>747</v>
      </c>
      <c r="C89" s="31" t="s">
        <v>768</v>
      </c>
      <c r="D89" s="31" t="s">
        <v>769</v>
      </c>
      <c r="E89" s="31" t="s">
        <v>108</v>
      </c>
      <c r="F89" s="30">
        <v>2.0</v>
      </c>
      <c r="G89" s="30" t="s">
        <v>382</v>
      </c>
      <c r="H89" s="30" t="s">
        <v>66</v>
      </c>
      <c r="I89" s="31" t="s">
        <v>771</v>
      </c>
    </row>
    <row r="90" ht="126.0" customHeight="1">
      <c r="A90" s="19" t="s">
        <v>774</v>
      </c>
      <c r="B90" s="19" t="s">
        <v>747</v>
      </c>
      <c r="C90" s="19" t="s">
        <v>775</v>
      </c>
      <c r="D90" s="19" t="s">
        <v>776</v>
      </c>
      <c r="E90" s="19" t="s">
        <v>108</v>
      </c>
      <c r="F90" s="16">
        <v>3.0</v>
      </c>
      <c r="G90" s="16" t="s">
        <v>382</v>
      </c>
      <c r="H90" s="16" t="s">
        <v>66</v>
      </c>
      <c r="I90" s="19" t="s">
        <v>778</v>
      </c>
    </row>
    <row r="91" ht="141.0" customHeight="1">
      <c r="A91" s="31" t="s">
        <v>780</v>
      </c>
      <c r="B91" s="31" t="s">
        <v>747</v>
      </c>
      <c r="C91" s="31" t="s">
        <v>781</v>
      </c>
      <c r="D91" s="31" t="s">
        <v>782</v>
      </c>
      <c r="E91" s="31" t="s">
        <v>108</v>
      </c>
      <c r="F91" s="30">
        <v>5.0</v>
      </c>
      <c r="G91" s="30" t="s">
        <v>382</v>
      </c>
      <c r="H91" s="30" t="s">
        <v>66</v>
      </c>
      <c r="I91" s="31" t="s">
        <v>784</v>
      </c>
    </row>
    <row r="92" ht="96.0" customHeight="1">
      <c r="A92" s="19" t="s">
        <v>786</v>
      </c>
      <c r="B92" s="19" t="s">
        <v>747</v>
      </c>
      <c r="C92" s="19" t="s">
        <v>787</v>
      </c>
      <c r="D92" s="19" t="s">
        <v>788</v>
      </c>
      <c r="E92" s="19" t="s">
        <v>108</v>
      </c>
      <c r="F92" s="16">
        <v>2.0</v>
      </c>
      <c r="G92" s="16" t="s">
        <v>382</v>
      </c>
      <c r="H92" s="16" t="s">
        <v>66</v>
      </c>
      <c r="I92" s="19" t="s">
        <v>789</v>
      </c>
    </row>
    <row r="93" ht="126.0" customHeight="1">
      <c r="A93" s="31" t="s">
        <v>790</v>
      </c>
      <c r="B93" s="31" t="s">
        <v>747</v>
      </c>
      <c r="C93" s="31" t="s">
        <v>791</v>
      </c>
      <c r="D93" s="31" t="s">
        <v>792</v>
      </c>
      <c r="E93" s="31" t="s">
        <v>108</v>
      </c>
      <c r="F93" s="30">
        <v>2.0</v>
      </c>
      <c r="G93" s="30" t="s">
        <v>382</v>
      </c>
      <c r="H93" s="30" t="s">
        <v>66</v>
      </c>
      <c r="I93" s="31" t="s">
        <v>794</v>
      </c>
    </row>
    <row r="94" ht="126.0" customHeight="1">
      <c r="A94" s="19" t="s">
        <v>797</v>
      </c>
      <c r="B94" s="19" t="s">
        <v>747</v>
      </c>
      <c r="C94" s="19" t="s">
        <v>798</v>
      </c>
      <c r="D94" s="19" t="s">
        <v>799</v>
      </c>
      <c r="E94" s="19" t="s">
        <v>108</v>
      </c>
      <c r="F94" s="16">
        <v>5.0</v>
      </c>
      <c r="G94" s="16" t="s">
        <v>382</v>
      </c>
      <c r="H94" s="16" t="s">
        <v>66</v>
      </c>
      <c r="I94" s="19" t="s">
        <v>802</v>
      </c>
    </row>
    <row r="95" ht="111.0" customHeight="1">
      <c r="A95" s="31" t="s">
        <v>804</v>
      </c>
      <c r="B95" s="31" t="s">
        <v>747</v>
      </c>
      <c r="C95" s="31" t="s">
        <v>805</v>
      </c>
      <c r="D95" s="31" t="s">
        <v>806</v>
      </c>
      <c r="E95" s="31" t="s">
        <v>108</v>
      </c>
      <c r="F95" s="30">
        <v>2.0</v>
      </c>
      <c r="G95" s="30" t="s">
        <v>382</v>
      </c>
      <c r="H95" s="30" t="s">
        <v>66</v>
      </c>
      <c r="I95" s="31" t="s">
        <v>808</v>
      </c>
    </row>
    <row r="96" ht="126.0" customHeight="1">
      <c r="A96" s="19" t="s">
        <v>811</v>
      </c>
      <c r="B96" s="19" t="s">
        <v>747</v>
      </c>
      <c r="C96" s="19" t="s">
        <v>812</v>
      </c>
      <c r="D96" s="19" t="s">
        <v>813</v>
      </c>
      <c r="E96" s="19" t="s">
        <v>108</v>
      </c>
      <c r="F96" s="16">
        <v>3.0</v>
      </c>
      <c r="G96" s="16" t="s">
        <v>382</v>
      </c>
      <c r="H96" s="16" t="s">
        <v>66</v>
      </c>
      <c r="I96" s="19" t="s">
        <v>816</v>
      </c>
    </row>
    <row r="97" ht="141.0" customHeight="1">
      <c r="A97" s="31" t="s">
        <v>817</v>
      </c>
      <c r="B97" s="31" t="s">
        <v>747</v>
      </c>
      <c r="C97" s="31" t="s">
        <v>818</v>
      </c>
      <c r="D97" s="31" t="s">
        <v>819</v>
      </c>
      <c r="E97" s="31" t="s">
        <v>108</v>
      </c>
      <c r="F97" s="30">
        <v>5.0</v>
      </c>
      <c r="G97" s="30" t="s">
        <v>382</v>
      </c>
      <c r="H97" s="30" t="s">
        <v>66</v>
      </c>
      <c r="I97" s="31" t="s">
        <v>823</v>
      </c>
    </row>
    <row r="98" ht="96.0" customHeight="1">
      <c r="A98" s="19" t="s">
        <v>824</v>
      </c>
      <c r="B98" s="19" t="s">
        <v>747</v>
      </c>
      <c r="C98" s="19" t="s">
        <v>825</v>
      </c>
      <c r="D98" s="19" t="s">
        <v>826</v>
      </c>
      <c r="E98" s="19" t="s">
        <v>108</v>
      </c>
      <c r="F98" s="16">
        <v>2.0</v>
      </c>
      <c r="G98" s="16" t="s">
        <v>382</v>
      </c>
      <c r="H98" s="16" t="s">
        <v>66</v>
      </c>
      <c r="I98" s="19" t="s">
        <v>830</v>
      </c>
    </row>
    <row r="99" ht="126.0" customHeight="1">
      <c r="A99" s="31" t="s">
        <v>831</v>
      </c>
      <c r="B99" s="31" t="s">
        <v>747</v>
      </c>
      <c r="C99" s="31" t="s">
        <v>832</v>
      </c>
      <c r="D99" s="31" t="s">
        <v>833</v>
      </c>
      <c r="E99" s="31" t="s">
        <v>108</v>
      </c>
      <c r="F99" s="30">
        <v>5.0</v>
      </c>
      <c r="G99" s="30" t="s">
        <v>382</v>
      </c>
      <c r="H99" s="30" t="s">
        <v>66</v>
      </c>
      <c r="I99" s="31" t="s">
        <v>837</v>
      </c>
    </row>
    <row r="100" ht="96.0" customHeight="1">
      <c r="A100" s="19" t="s">
        <v>838</v>
      </c>
      <c r="B100" s="19" t="s">
        <v>747</v>
      </c>
      <c r="C100" s="19" t="s">
        <v>839</v>
      </c>
      <c r="D100" s="19" t="s">
        <v>840</v>
      </c>
      <c r="E100" s="19" t="s">
        <v>108</v>
      </c>
      <c r="F100" s="16">
        <v>2.0</v>
      </c>
      <c r="G100" s="16" t="s">
        <v>382</v>
      </c>
      <c r="H100" s="16" t="s">
        <v>66</v>
      </c>
      <c r="I100" s="19" t="s">
        <v>843</v>
      </c>
    </row>
    <row r="101" ht="156.0" customHeight="1">
      <c r="A101" s="31" t="s">
        <v>844</v>
      </c>
      <c r="B101" s="31" t="s">
        <v>845</v>
      </c>
      <c r="C101" s="31" t="s">
        <v>846</v>
      </c>
      <c r="D101" s="31" t="s">
        <v>848</v>
      </c>
      <c r="E101" s="31" t="s">
        <v>108</v>
      </c>
      <c r="F101" s="30">
        <v>5.0</v>
      </c>
      <c r="G101" s="30" t="s">
        <v>382</v>
      </c>
      <c r="H101" s="30" t="s">
        <v>66</v>
      </c>
      <c r="I101" s="31" t="s">
        <v>851</v>
      </c>
    </row>
    <row r="102" ht="141.0" customHeight="1">
      <c r="A102" s="19" t="s">
        <v>852</v>
      </c>
      <c r="B102" s="19" t="s">
        <v>845</v>
      </c>
      <c r="C102" s="19" t="s">
        <v>853</v>
      </c>
      <c r="D102" s="19" t="s">
        <v>855</v>
      </c>
      <c r="E102" s="19" t="s">
        <v>108</v>
      </c>
      <c r="F102" s="16">
        <v>3.0</v>
      </c>
      <c r="G102" s="16" t="s">
        <v>382</v>
      </c>
      <c r="H102" s="16" t="s">
        <v>66</v>
      </c>
      <c r="I102" s="19" t="s">
        <v>858</v>
      </c>
    </row>
    <row r="103" ht="126.0" customHeight="1">
      <c r="A103" s="31" t="s">
        <v>859</v>
      </c>
      <c r="B103" s="31" t="s">
        <v>845</v>
      </c>
      <c r="C103" s="31" t="s">
        <v>861</v>
      </c>
      <c r="D103" s="31" t="s">
        <v>863</v>
      </c>
      <c r="E103" s="31" t="s">
        <v>108</v>
      </c>
      <c r="F103" s="30">
        <v>5.0</v>
      </c>
      <c r="G103" s="30" t="s">
        <v>382</v>
      </c>
      <c r="H103" s="30" t="s">
        <v>66</v>
      </c>
      <c r="I103" s="31" t="s">
        <v>865</v>
      </c>
    </row>
    <row r="104" ht="141.0" customHeight="1">
      <c r="A104" s="19" t="s">
        <v>867</v>
      </c>
      <c r="B104" s="19" t="s">
        <v>845</v>
      </c>
      <c r="C104" s="19" t="s">
        <v>870</v>
      </c>
      <c r="D104" s="19" t="s">
        <v>871</v>
      </c>
      <c r="E104" s="19" t="s">
        <v>108</v>
      </c>
      <c r="F104" s="16">
        <v>3.0</v>
      </c>
      <c r="G104" s="16" t="s">
        <v>382</v>
      </c>
      <c r="H104" s="16" t="s">
        <v>66</v>
      </c>
      <c r="I104" s="19" t="s">
        <v>873</v>
      </c>
    </row>
    <row r="105" ht="141.0" customHeight="1">
      <c r="A105" s="31" t="s">
        <v>875</v>
      </c>
      <c r="B105" s="31" t="s">
        <v>845</v>
      </c>
      <c r="C105" s="31" t="s">
        <v>877</v>
      </c>
      <c r="D105" s="31" t="s">
        <v>878</v>
      </c>
      <c r="E105" s="31" t="s">
        <v>108</v>
      </c>
      <c r="F105" s="30">
        <v>5.0</v>
      </c>
      <c r="G105" s="30" t="s">
        <v>382</v>
      </c>
      <c r="H105" s="30" t="s">
        <v>66</v>
      </c>
      <c r="I105" s="31" t="s">
        <v>880</v>
      </c>
    </row>
    <row r="106" ht="156.0" customHeight="1">
      <c r="A106" s="19" t="s">
        <v>882</v>
      </c>
      <c r="B106" s="19" t="s">
        <v>845</v>
      </c>
      <c r="C106" s="19" t="s">
        <v>883</v>
      </c>
      <c r="D106" s="19" t="s">
        <v>884</v>
      </c>
      <c r="E106" s="19" t="s">
        <v>108</v>
      </c>
      <c r="F106" s="16">
        <v>5.0</v>
      </c>
      <c r="G106" s="16" t="s">
        <v>382</v>
      </c>
      <c r="H106" s="16" t="s">
        <v>66</v>
      </c>
      <c r="I106" s="19" t="s">
        <v>887</v>
      </c>
    </row>
    <row r="107" ht="96.0" customHeight="1">
      <c r="A107" s="31" t="s">
        <v>888</v>
      </c>
      <c r="B107" s="31" t="s">
        <v>845</v>
      </c>
      <c r="C107" s="31" t="s">
        <v>889</v>
      </c>
      <c r="D107" s="31" t="s">
        <v>890</v>
      </c>
      <c r="E107" s="31" t="s">
        <v>108</v>
      </c>
      <c r="F107" s="30">
        <v>2.0</v>
      </c>
      <c r="G107" s="30" t="s">
        <v>382</v>
      </c>
      <c r="H107" s="30" t="s">
        <v>66</v>
      </c>
      <c r="I107" s="31" t="s">
        <v>894</v>
      </c>
    </row>
    <row r="108" ht="141.0" customHeight="1">
      <c r="A108" s="19" t="s">
        <v>895</v>
      </c>
      <c r="B108" s="19" t="s">
        <v>845</v>
      </c>
      <c r="C108" s="19" t="s">
        <v>896</v>
      </c>
      <c r="D108" s="19" t="s">
        <v>898</v>
      </c>
      <c r="E108" s="19" t="s">
        <v>108</v>
      </c>
      <c r="F108" s="16">
        <v>5.0</v>
      </c>
      <c r="G108" s="16" t="s">
        <v>382</v>
      </c>
      <c r="H108" s="16" t="s">
        <v>66</v>
      </c>
      <c r="I108" s="19" t="s">
        <v>901</v>
      </c>
    </row>
    <row r="109" ht="156.0" customHeight="1">
      <c r="A109" s="31" t="s">
        <v>902</v>
      </c>
      <c r="B109" s="31" t="s">
        <v>845</v>
      </c>
      <c r="C109" s="31" t="s">
        <v>904</v>
      </c>
      <c r="D109" s="31" t="s">
        <v>906</v>
      </c>
      <c r="E109" s="31" t="s">
        <v>108</v>
      </c>
      <c r="F109" s="30">
        <v>3.0</v>
      </c>
      <c r="G109" s="30" t="s">
        <v>382</v>
      </c>
      <c r="H109" s="30" t="s">
        <v>66</v>
      </c>
      <c r="I109" s="31" t="s">
        <v>908</v>
      </c>
    </row>
    <row r="110" ht="156.0" customHeight="1">
      <c r="A110" s="19" t="s">
        <v>909</v>
      </c>
      <c r="B110" s="19" t="s">
        <v>845</v>
      </c>
      <c r="C110" s="19" t="s">
        <v>912</v>
      </c>
      <c r="D110" s="19" t="s">
        <v>914</v>
      </c>
      <c r="E110" s="19" t="s">
        <v>108</v>
      </c>
      <c r="F110" s="16">
        <v>5.0</v>
      </c>
      <c r="G110" s="16" t="s">
        <v>382</v>
      </c>
      <c r="H110" s="16" t="s">
        <v>66</v>
      </c>
      <c r="I110" s="19" t="s">
        <v>916</v>
      </c>
    </row>
    <row r="111" ht="141.0" customHeight="1">
      <c r="A111" s="31" t="s">
        <v>917</v>
      </c>
      <c r="B111" s="31" t="s">
        <v>845</v>
      </c>
      <c r="C111" s="31" t="s">
        <v>919</v>
      </c>
      <c r="D111" s="31" t="s">
        <v>920</v>
      </c>
      <c r="E111" s="31" t="s">
        <v>108</v>
      </c>
      <c r="F111" s="30">
        <v>3.0</v>
      </c>
      <c r="G111" s="30" t="s">
        <v>382</v>
      </c>
      <c r="H111" s="30" t="s">
        <v>66</v>
      </c>
      <c r="I111" s="31" t="s">
        <v>924</v>
      </c>
    </row>
    <row r="112" ht="156.0" customHeight="1">
      <c r="A112" s="19" t="s">
        <v>925</v>
      </c>
      <c r="B112" s="19" t="s">
        <v>845</v>
      </c>
      <c r="C112" s="19" t="s">
        <v>926</v>
      </c>
      <c r="D112" s="19" t="s">
        <v>927</v>
      </c>
      <c r="E112" s="19" t="s">
        <v>108</v>
      </c>
      <c r="F112" s="16">
        <v>3.0</v>
      </c>
      <c r="G112" s="16" t="s">
        <v>382</v>
      </c>
      <c r="H112" s="16" t="s">
        <v>66</v>
      </c>
      <c r="I112" s="19" t="s">
        <v>930</v>
      </c>
    </row>
    <row r="113" ht="141.0" customHeight="1">
      <c r="A113" s="31" t="s">
        <v>931</v>
      </c>
      <c r="B113" s="31" t="s">
        <v>845</v>
      </c>
      <c r="C113" s="31" t="s">
        <v>932</v>
      </c>
      <c r="D113" s="31" t="s">
        <v>933</v>
      </c>
      <c r="E113" s="31" t="s">
        <v>108</v>
      </c>
      <c r="F113" s="30">
        <v>3.0</v>
      </c>
      <c r="G113" s="30" t="s">
        <v>382</v>
      </c>
      <c r="H113" s="30" t="s">
        <v>66</v>
      </c>
      <c r="I113" s="31" t="s">
        <v>936</v>
      </c>
    </row>
    <row r="114" ht="111.0" customHeight="1">
      <c r="A114" s="19" t="s">
        <v>937</v>
      </c>
      <c r="B114" s="19" t="s">
        <v>209</v>
      </c>
      <c r="C114" s="19" t="s">
        <v>938</v>
      </c>
      <c r="D114" s="19" t="s">
        <v>939</v>
      </c>
      <c r="E114" s="19" t="s">
        <v>108</v>
      </c>
      <c r="F114" s="16">
        <v>3.0</v>
      </c>
      <c r="G114" s="16" t="s">
        <v>382</v>
      </c>
      <c r="H114" s="16" t="s">
        <v>66</v>
      </c>
      <c r="I114" s="19" t="s">
        <v>942</v>
      </c>
    </row>
    <row r="115" ht="111.0" customHeight="1">
      <c r="A115" s="31" t="s">
        <v>943</v>
      </c>
      <c r="B115" s="31" t="s">
        <v>209</v>
      </c>
      <c r="C115" s="31" t="s">
        <v>944</v>
      </c>
      <c r="D115" s="31" t="s">
        <v>946</v>
      </c>
      <c r="E115" s="31" t="s">
        <v>108</v>
      </c>
      <c r="F115" s="30">
        <v>5.0</v>
      </c>
      <c r="G115" s="30" t="s">
        <v>382</v>
      </c>
      <c r="H115" s="30" t="s">
        <v>66</v>
      </c>
      <c r="I115" s="31" t="s">
        <v>948</v>
      </c>
    </row>
    <row r="116" ht="126.0" customHeight="1">
      <c r="A116" s="19" t="s">
        <v>949</v>
      </c>
      <c r="B116" s="19" t="s">
        <v>209</v>
      </c>
      <c r="C116" s="19" t="s">
        <v>950</v>
      </c>
      <c r="D116" s="19" t="s">
        <v>952</v>
      </c>
      <c r="E116" s="19" t="s">
        <v>381</v>
      </c>
      <c r="F116" s="16">
        <v>8.0</v>
      </c>
      <c r="G116" s="16" t="s">
        <v>382</v>
      </c>
      <c r="H116" s="16" t="s">
        <v>66</v>
      </c>
      <c r="I116" s="19" t="s">
        <v>954</v>
      </c>
    </row>
    <row r="117" ht="156.0" customHeight="1">
      <c r="A117" s="31" t="s">
        <v>955</v>
      </c>
      <c r="B117" s="31" t="s">
        <v>209</v>
      </c>
      <c r="C117" s="31" t="s">
        <v>956</v>
      </c>
      <c r="D117" s="31" t="s">
        <v>958</v>
      </c>
      <c r="E117" s="31" t="s">
        <v>381</v>
      </c>
      <c r="F117" s="30">
        <v>8.0</v>
      </c>
      <c r="G117" s="30" t="s">
        <v>382</v>
      </c>
      <c r="H117" s="30" t="s">
        <v>66</v>
      </c>
      <c r="I117" s="31" t="s">
        <v>960</v>
      </c>
    </row>
    <row r="118" ht="96.0" customHeight="1">
      <c r="A118" s="19" t="s">
        <v>961</v>
      </c>
      <c r="B118" s="19" t="s">
        <v>209</v>
      </c>
      <c r="C118" s="19" t="s">
        <v>963</v>
      </c>
      <c r="D118" s="19" t="s">
        <v>964</v>
      </c>
      <c r="E118" s="19" t="s">
        <v>381</v>
      </c>
      <c r="F118" s="16">
        <v>3.0</v>
      </c>
      <c r="G118" s="16" t="s">
        <v>382</v>
      </c>
      <c r="H118" s="16" t="s">
        <v>66</v>
      </c>
      <c r="I118" s="19" t="s">
        <v>966</v>
      </c>
    </row>
    <row r="119" ht="126.0" customHeight="1">
      <c r="A119" s="31" t="s">
        <v>911</v>
      </c>
      <c r="B119" s="31" t="s">
        <v>209</v>
      </c>
      <c r="C119" s="31" t="s">
        <v>968</v>
      </c>
      <c r="D119" s="31" t="s">
        <v>970</v>
      </c>
      <c r="E119" s="31" t="s">
        <v>381</v>
      </c>
      <c r="F119" s="30">
        <v>3.0</v>
      </c>
      <c r="G119" s="30" t="s">
        <v>382</v>
      </c>
      <c r="H119" s="30" t="s">
        <v>66</v>
      </c>
      <c r="I119" s="31" t="s">
        <v>972</v>
      </c>
    </row>
    <row r="120" ht="141.0" customHeight="1">
      <c r="A120" s="19" t="s">
        <v>974</v>
      </c>
      <c r="B120" s="19" t="s">
        <v>209</v>
      </c>
      <c r="C120" s="19" t="s">
        <v>976</v>
      </c>
      <c r="D120" s="19" t="s">
        <v>977</v>
      </c>
      <c r="E120" s="19" t="s">
        <v>381</v>
      </c>
      <c r="F120" s="16">
        <v>3.0</v>
      </c>
      <c r="G120" s="16" t="s">
        <v>382</v>
      </c>
      <c r="H120" s="16" t="s">
        <v>66</v>
      </c>
      <c r="I120" s="19" t="s">
        <v>979</v>
      </c>
    </row>
    <row r="121" ht="126.0" customHeight="1">
      <c r="A121" s="31" t="s">
        <v>981</v>
      </c>
      <c r="B121" s="31" t="s">
        <v>209</v>
      </c>
      <c r="C121" s="31" t="s">
        <v>982</v>
      </c>
      <c r="D121" s="31" t="s">
        <v>983</v>
      </c>
      <c r="E121" s="31" t="s">
        <v>381</v>
      </c>
      <c r="F121" s="30">
        <v>2.0</v>
      </c>
      <c r="G121" s="30" t="s">
        <v>382</v>
      </c>
      <c r="H121" s="30" t="s">
        <v>66</v>
      </c>
      <c r="I121" s="31" t="s">
        <v>987</v>
      </c>
    </row>
    <row r="122" ht="111.0" customHeight="1">
      <c r="A122" s="19" t="s">
        <v>988</v>
      </c>
      <c r="B122" s="19" t="s">
        <v>209</v>
      </c>
      <c r="C122" s="19" t="s">
        <v>989</v>
      </c>
      <c r="D122" s="19" t="s">
        <v>990</v>
      </c>
      <c r="E122" s="19" t="s">
        <v>381</v>
      </c>
      <c r="F122" s="16">
        <v>5.0</v>
      </c>
      <c r="G122" s="16" t="s">
        <v>382</v>
      </c>
      <c r="H122" s="16" t="s">
        <v>66</v>
      </c>
      <c r="I122" s="19" t="s">
        <v>994</v>
      </c>
    </row>
    <row r="123" ht="126.0" customHeight="1">
      <c r="A123" s="31" t="s">
        <v>995</v>
      </c>
      <c r="B123" s="31" t="s">
        <v>209</v>
      </c>
      <c r="C123" s="31" t="s">
        <v>996</v>
      </c>
      <c r="D123" s="31" t="s">
        <v>998</v>
      </c>
      <c r="E123" s="31" t="s">
        <v>381</v>
      </c>
      <c r="F123" s="30">
        <v>3.0</v>
      </c>
      <c r="G123" s="30" t="s">
        <v>382</v>
      </c>
      <c r="H123" s="30" t="s">
        <v>66</v>
      </c>
      <c r="I123" s="31" t="s">
        <v>1001</v>
      </c>
    </row>
    <row r="124" ht="111.0" customHeight="1">
      <c r="A124" s="19" t="s">
        <v>1002</v>
      </c>
      <c r="B124" s="19" t="s">
        <v>128</v>
      </c>
      <c r="C124" s="19" t="s">
        <v>1003</v>
      </c>
      <c r="D124" s="19" t="s">
        <v>1005</v>
      </c>
      <c r="E124" s="19" t="s">
        <v>381</v>
      </c>
      <c r="F124" s="16">
        <v>5.0</v>
      </c>
      <c r="G124" s="16" t="s">
        <v>382</v>
      </c>
      <c r="H124" s="16" t="s">
        <v>66</v>
      </c>
      <c r="I124" s="19" t="s">
        <v>1008</v>
      </c>
    </row>
    <row r="125" ht="126.0" customHeight="1">
      <c r="A125" s="31" t="s">
        <v>1009</v>
      </c>
      <c r="B125" s="31" t="s">
        <v>128</v>
      </c>
      <c r="C125" s="31" t="s">
        <v>1010</v>
      </c>
      <c r="D125" s="31" t="s">
        <v>1012</v>
      </c>
      <c r="E125" s="31" t="s">
        <v>381</v>
      </c>
      <c r="F125" s="30">
        <v>3.0</v>
      </c>
      <c r="G125" s="30" t="s">
        <v>382</v>
      </c>
      <c r="H125" s="30" t="s">
        <v>66</v>
      </c>
      <c r="I125" s="31" t="s">
        <v>1014</v>
      </c>
    </row>
    <row r="126" ht="156.0" customHeight="1">
      <c r="A126" s="19" t="s">
        <v>1015</v>
      </c>
      <c r="B126" s="19" t="s">
        <v>128</v>
      </c>
      <c r="C126" s="19" t="s">
        <v>1017</v>
      </c>
      <c r="D126" s="19" t="s">
        <v>1019</v>
      </c>
      <c r="E126" s="19" t="s">
        <v>381</v>
      </c>
      <c r="F126" s="16">
        <v>5.0</v>
      </c>
      <c r="G126" s="16" t="s">
        <v>382</v>
      </c>
      <c r="H126" s="16" t="s">
        <v>66</v>
      </c>
      <c r="I126" s="19" t="s">
        <v>1020</v>
      </c>
    </row>
    <row r="127" ht="141.0" customHeight="1">
      <c r="A127" s="31" t="s">
        <v>1022</v>
      </c>
      <c r="B127" s="31" t="s">
        <v>128</v>
      </c>
      <c r="C127" s="31" t="s">
        <v>1024</v>
      </c>
      <c r="D127" s="31" t="s">
        <v>1025</v>
      </c>
      <c r="E127" s="31" t="s">
        <v>381</v>
      </c>
      <c r="F127" s="30">
        <v>5.0</v>
      </c>
      <c r="G127" s="30" t="s">
        <v>382</v>
      </c>
      <c r="H127" s="30" t="s">
        <v>66</v>
      </c>
      <c r="I127" s="31" t="s">
        <v>1027</v>
      </c>
    </row>
    <row r="128" ht="141.0" customHeight="1">
      <c r="A128" s="19" t="s">
        <v>905</v>
      </c>
      <c r="B128" s="19" t="s">
        <v>128</v>
      </c>
      <c r="C128" s="19" t="s">
        <v>1029</v>
      </c>
      <c r="D128" s="19" t="s">
        <v>1030</v>
      </c>
      <c r="E128" s="19" t="s">
        <v>381</v>
      </c>
      <c r="F128" s="16">
        <v>3.0</v>
      </c>
      <c r="G128" s="16" t="s">
        <v>382</v>
      </c>
      <c r="H128" s="16" t="s">
        <v>66</v>
      </c>
      <c r="I128" s="19" t="s">
        <v>1032</v>
      </c>
    </row>
    <row r="129" ht="156.0" customHeight="1">
      <c r="A129" s="31" t="s">
        <v>1033</v>
      </c>
      <c r="B129" s="31" t="s">
        <v>200</v>
      </c>
      <c r="C129" s="31" t="s">
        <v>1035</v>
      </c>
      <c r="D129" s="31" t="s">
        <v>1036</v>
      </c>
      <c r="E129" s="31" t="s">
        <v>653</v>
      </c>
      <c r="F129" s="30">
        <v>3.0</v>
      </c>
      <c r="G129" s="30" t="s">
        <v>382</v>
      </c>
      <c r="H129" s="30" t="s">
        <v>66</v>
      </c>
      <c r="I129" s="31" t="s">
        <v>1039</v>
      </c>
    </row>
    <row r="130" ht="141.0" customHeight="1">
      <c r="A130" s="19" t="s">
        <v>1040</v>
      </c>
      <c r="B130" s="19" t="s">
        <v>200</v>
      </c>
      <c r="C130" s="19" t="s">
        <v>1041</v>
      </c>
      <c r="D130" s="19" t="s">
        <v>1042</v>
      </c>
      <c r="E130" s="19" t="s">
        <v>653</v>
      </c>
      <c r="F130" s="16">
        <v>3.0</v>
      </c>
      <c r="G130" s="16" t="s">
        <v>382</v>
      </c>
      <c r="H130" s="16" t="s">
        <v>66</v>
      </c>
      <c r="I130" s="19" t="s">
        <v>1044</v>
      </c>
    </row>
    <row r="131" ht="156.0" customHeight="1">
      <c r="A131" s="31" t="s">
        <v>1046</v>
      </c>
      <c r="B131" s="31" t="s">
        <v>200</v>
      </c>
      <c r="C131" s="31" t="s">
        <v>1047</v>
      </c>
      <c r="D131" s="31" t="s">
        <v>1048</v>
      </c>
      <c r="E131" s="31" t="s">
        <v>653</v>
      </c>
      <c r="F131" s="30">
        <v>3.0</v>
      </c>
      <c r="G131" s="30" t="s">
        <v>382</v>
      </c>
      <c r="H131" s="30" t="s">
        <v>66</v>
      </c>
      <c r="I131" s="31" t="s">
        <v>1050</v>
      </c>
    </row>
    <row r="132" ht="126.0" customHeight="1">
      <c r="A132" s="19" t="s">
        <v>1052</v>
      </c>
      <c r="B132" s="19" t="s">
        <v>200</v>
      </c>
      <c r="C132" s="19" t="s">
        <v>1053</v>
      </c>
      <c r="D132" s="19" t="s">
        <v>1054</v>
      </c>
      <c r="E132" s="19" t="s">
        <v>653</v>
      </c>
      <c r="F132" s="16">
        <v>3.0</v>
      </c>
      <c r="G132" s="16" t="s">
        <v>382</v>
      </c>
      <c r="H132" s="16" t="s">
        <v>66</v>
      </c>
      <c r="I132" s="19" t="s">
        <v>1057</v>
      </c>
    </row>
    <row r="133" ht="126.0" customHeight="1">
      <c r="A133" s="31" t="s">
        <v>1058</v>
      </c>
      <c r="B133" s="31" t="s">
        <v>200</v>
      </c>
      <c r="C133" s="31" t="s">
        <v>1059</v>
      </c>
      <c r="D133" s="31" t="s">
        <v>1062</v>
      </c>
      <c r="E133" s="31" t="s">
        <v>653</v>
      </c>
      <c r="F133" s="30">
        <v>3.0</v>
      </c>
      <c r="G133" s="30" t="s">
        <v>382</v>
      </c>
      <c r="H133" s="30" t="s">
        <v>66</v>
      </c>
      <c r="I133" s="31" t="s">
        <v>1064</v>
      </c>
    </row>
    <row r="134" ht="141.0" customHeight="1">
      <c r="A134" s="19" t="s">
        <v>1066</v>
      </c>
      <c r="B134" s="19" t="s">
        <v>200</v>
      </c>
      <c r="C134" s="19" t="s">
        <v>1068</v>
      </c>
      <c r="D134" s="19" t="s">
        <v>1069</v>
      </c>
      <c r="E134" s="19" t="s">
        <v>653</v>
      </c>
      <c r="F134" s="16">
        <v>3.0</v>
      </c>
      <c r="G134" s="16" t="s">
        <v>382</v>
      </c>
      <c r="H134" s="16" t="s">
        <v>66</v>
      </c>
      <c r="I134" s="19" t="s">
        <v>1071</v>
      </c>
    </row>
    <row r="135" ht="111.0" customHeight="1">
      <c r="A135" s="31" t="s">
        <v>849</v>
      </c>
      <c r="B135" s="31" t="s">
        <v>118</v>
      </c>
      <c r="C135" s="31" t="s">
        <v>1073</v>
      </c>
      <c r="D135" s="31" t="s">
        <v>1074</v>
      </c>
      <c r="E135" s="31" t="s">
        <v>381</v>
      </c>
      <c r="F135" s="30">
        <v>5.0</v>
      </c>
      <c r="G135" s="30" t="s">
        <v>382</v>
      </c>
      <c r="H135" s="30" t="s">
        <v>66</v>
      </c>
      <c r="I135" s="31" t="s">
        <v>1076</v>
      </c>
    </row>
    <row r="136" ht="126.0" customHeight="1">
      <c r="A136" s="19" t="s">
        <v>1079</v>
      </c>
      <c r="B136" s="19" t="s">
        <v>118</v>
      </c>
      <c r="C136" s="19" t="s">
        <v>1080</v>
      </c>
      <c r="D136" s="19" t="s">
        <v>1081</v>
      </c>
      <c r="E136" s="19" t="s">
        <v>381</v>
      </c>
      <c r="F136" s="16">
        <v>5.0</v>
      </c>
      <c r="G136" s="16" t="s">
        <v>382</v>
      </c>
      <c r="H136" s="16" t="s">
        <v>66</v>
      </c>
      <c r="I136" s="19" t="s">
        <v>1084</v>
      </c>
    </row>
    <row r="137" ht="156.0" customHeight="1">
      <c r="A137" s="31" t="s">
        <v>1085</v>
      </c>
      <c r="B137" s="31" t="s">
        <v>118</v>
      </c>
      <c r="C137" s="31" t="s">
        <v>1086</v>
      </c>
      <c r="D137" s="31" t="s">
        <v>1087</v>
      </c>
      <c r="E137" s="31" t="s">
        <v>381</v>
      </c>
      <c r="F137" s="30">
        <v>8.0</v>
      </c>
      <c r="G137" s="30" t="s">
        <v>382</v>
      </c>
      <c r="H137" s="30" t="s">
        <v>66</v>
      </c>
      <c r="I137" s="31" t="s">
        <v>1090</v>
      </c>
    </row>
    <row r="138" ht="111.0" customHeight="1">
      <c r="A138" s="19" t="s">
        <v>1091</v>
      </c>
      <c r="B138" s="19" t="s">
        <v>508</v>
      </c>
      <c r="C138" s="19" t="s">
        <v>1092</v>
      </c>
      <c r="D138" s="19" t="s">
        <v>1094</v>
      </c>
      <c r="E138" s="19" t="s">
        <v>381</v>
      </c>
      <c r="F138" s="16">
        <v>5.0</v>
      </c>
      <c r="G138" s="16" t="s">
        <v>382</v>
      </c>
      <c r="H138" s="16" t="s">
        <v>66</v>
      </c>
      <c r="I138" s="19" t="s">
        <v>1096</v>
      </c>
    </row>
    <row r="139" ht="126.0" customHeight="1">
      <c r="A139" s="31" t="s">
        <v>1097</v>
      </c>
      <c r="B139" s="31" t="s">
        <v>508</v>
      </c>
      <c r="C139" s="31" t="s">
        <v>1099</v>
      </c>
      <c r="D139" s="31" t="s">
        <v>1101</v>
      </c>
      <c r="E139" s="31" t="s">
        <v>381</v>
      </c>
      <c r="F139" s="30">
        <v>5.0</v>
      </c>
      <c r="G139" s="30" t="s">
        <v>382</v>
      </c>
      <c r="H139" s="30" t="s">
        <v>66</v>
      </c>
      <c r="I139" s="31" t="s">
        <v>1103</v>
      </c>
    </row>
    <row r="140" ht="66.0" customHeight="1">
      <c r="A140" s="19" t="s">
        <v>772</v>
      </c>
      <c r="B140" s="19" t="s">
        <v>1105</v>
      </c>
      <c r="C140" s="19" t="s">
        <v>1106</v>
      </c>
      <c r="D140" s="19" t="s">
        <v>1108</v>
      </c>
      <c r="E140" s="19" t="s">
        <v>653</v>
      </c>
      <c r="F140" s="16">
        <v>5.0</v>
      </c>
      <c r="G140" s="16" t="s">
        <v>287</v>
      </c>
      <c r="H140" s="16" t="s">
        <v>66</v>
      </c>
      <c r="I140" s="19" t="s">
        <v>1109</v>
      </c>
    </row>
    <row r="141" ht="51.0" customHeight="1">
      <c r="A141" s="31" t="s">
        <v>759</v>
      </c>
      <c r="B141" s="31" t="s">
        <v>370</v>
      </c>
      <c r="C141" s="31" t="s">
        <v>1111</v>
      </c>
      <c r="D141" s="31" t="s">
        <v>1113</v>
      </c>
      <c r="E141" s="31" t="s">
        <v>108</v>
      </c>
      <c r="F141" s="30">
        <v>5.0</v>
      </c>
      <c r="G141" s="30" t="s">
        <v>382</v>
      </c>
      <c r="H141" s="30" t="s">
        <v>66</v>
      </c>
      <c r="I141" s="31" t="s">
        <v>375</v>
      </c>
    </row>
    <row r="142" ht="13.5" customHeight="1">
      <c r="F142" s="52"/>
      <c r="G142" s="52"/>
      <c r="H142" s="52"/>
    </row>
    <row r="143" ht="13.5" customHeight="1">
      <c r="F143" s="52"/>
      <c r="G143" s="52"/>
      <c r="H143" s="52"/>
    </row>
    <row r="144" ht="13.5" customHeight="1">
      <c r="F144" s="52"/>
      <c r="G144" s="52"/>
      <c r="H144" s="52"/>
    </row>
    <row r="145" ht="13.5" customHeight="1">
      <c r="F145" s="52"/>
      <c r="G145" s="52"/>
      <c r="H145" s="52"/>
    </row>
    <row r="146" ht="13.5" customHeight="1">
      <c r="F146" s="52"/>
      <c r="G146" s="52"/>
      <c r="H146" s="52"/>
    </row>
    <row r="147" ht="13.5" customHeight="1">
      <c r="F147" s="52"/>
      <c r="G147" s="52"/>
      <c r="H147" s="52"/>
    </row>
    <row r="148" ht="13.5" customHeight="1">
      <c r="F148" s="52"/>
      <c r="G148" s="52"/>
      <c r="H148" s="52"/>
    </row>
    <row r="149" ht="13.5" customHeight="1">
      <c r="F149" s="52"/>
      <c r="G149" s="52"/>
      <c r="H149" s="52"/>
    </row>
    <row r="150" ht="13.5" customHeight="1">
      <c r="F150" s="52"/>
      <c r="G150" s="52"/>
      <c r="H150" s="52"/>
    </row>
    <row r="151" ht="13.5" customHeight="1">
      <c r="F151" s="52"/>
      <c r="G151" s="52"/>
      <c r="H151" s="52"/>
    </row>
    <row r="152" ht="13.5" customHeight="1">
      <c r="F152" s="52"/>
      <c r="G152" s="52"/>
      <c r="H152" s="52"/>
    </row>
    <row r="153" ht="13.5" customHeight="1">
      <c r="F153" s="52"/>
      <c r="G153" s="52"/>
      <c r="H153" s="52"/>
    </row>
    <row r="154" ht="13.5" customHeight="1">
      <c r="F154" s="52"/>
      <c r="G154" s="52"/>
      <c r="H154" s="52"/>
    </row>
    <row r="155" ht="13.5" customHeight="1">
      <c r="F155" s="52"/>
      <c r="G155" s="52"/>
      <c r="H155" s="52"/>
    </row>
    <row r="156" ht="13.5" customHeight="1">
      <c r="F156" s="52"/>
      <c r="G156" s="52"/>
      <c r="H156" s="52"/>
    </row>
    <row r="157" ht="13.5" customHeight="1">
      <c r="F157" s="52"/>
      <c r="G157" s="52"/>
      <c r="H157" s="52"/>
    </row>
    <row r="158" ht="13.5" customHeight="1">
      <c r="F158" s="52"/>
      <c r="G158" s="52"/>
      <c r="H158" s="52"/>
    </row>
    <row r="159" ht="13.5" customHeight="1">
      <c r="F159" s="52"/>
      <c r="G159" s="52"/>
      <c r="H159" s="52"/>
    </row>
    <row r="160" ht="13.5" customHeight="1">
      <c r="F160" s="52"/>
      <c r="G160" s="52"/>
      <c r="H160" s="52"/>
    </row>
    <row r="161" ht="13.5" customHeight="1">
      <c r="F161" s="52"/>
      <c r="G161" s="52"/>
      <c r="H161" s="52"/>
    </row>
    <row r="162" ht="13.5" customHeight="1">
      <c r="F162" s="52"/>
      <c r="G162" s="52"/>
      <c r="H162" s="52"/>
    </row>
    <row r="163" ht="13.5" customHeight="1">
      <c r="F163" s="52"/>
      <c r="G163" s="52"/>
      <c r="H163" s="52"/>
    </row>
    <row r="164" ht="13.5" customHeight="1">
      <c r="F164" s="52"/>
      <c r="G164" s="52"/>
      <c r="H164" s="52"/>
    </row>
    <row r="165" ht="13.5" customHeight="1">
      <c r="F165" s="52"/>
      <c r="G165" s="52"/>
      <c r="H165" s="52"/>
    </row>
    <row r="166" ht="13.5" customHeight="1">
      <c r="F166" s="52"/>
      <c r="G166" s="52"/>
      <c r="H166" s="52"/>
    </row>
    <row r="167" ht="13.5" customHeight="1">
      <c r="F167" s="52"/>
      <c r="G167" s="52"/>
      <c r="H167" s="52"/>
    </row>
    <row r="168" ht="13.5" customHeight="1">
      <c r="F168" s="52"/>
      <c r="G168" s="52"/>
      <c r="H168" s="52"/>
    </row>
    <row r="169" ht="13.5" customHeight="1">
      <c r="F169" s="52"/>
      <c r="G169" s="52"/>
      <c r="H169" s="52"/>
    </row>
    <row r="170" ht="13.5" customHeight="1">
      <c r="F170" s="52"/>
      <c r="G170" s="52"/>
      <c r="H170" s="52"/>
    </row>
    <row r="171" ht="13.5" customHeight="1">
      <c r="F171" s="52"/>
      <c r="G171" s="52"/>
      <c r="H171" s="52"/>
    </row>
    <row r="172" ht="13.5" customHeight="1">
      <c r="F172" s="52"/>
      <c r="G172" s="52"/>
      <c r="H172" s="52"/>
    </row>
    <row r="173" ht="13.5" customHeight="1">
      <c r="F173" s="52"/>
      <c r="G173" s="52"/>
      <c r="H173" s="52"/>
    </row>
    <row r="174" ht="13.5" customHeight="1">
      <c r="F174" s="52"/>
      <c r="G174" s="52"/>
      <c r="H174" s="52"/>
    </row>
    <row r="175" ht="13.5" customHeight="1">
      <c r="F175" s="52"/>
      <c r="G175" s="52"/>
      <c r="H175" s="52"/>
    </row>
    <row r="176" ht="13.5" customHeight="1">
      <c r="F176" s="52"/>
      <c r="G176" s="52"/>
      <c r="H176" s="52"/>
    </row>
    <row r="177" ht="13.5" customHeight="1">
      <c r="F177" s="52"/>
      <c r="G177" s="52"/>
      <c r="H177" s="52"/>
    </row>
    <row r="178" ht="13.5" customHeight="1">
      <c r="F178" s="52"/>
      <c r="G178" s="52"/>
      <c r="H178" s="52"/>
    </row>
    <row r="179" ht="13.5" customHeight="1">
      <c r="F179" s="52"/>
      <c r="G179" s="52"/>
      <c r="H179" s="52"/>
    </row>
    <row r="180" ht="13.5" customHeight="1">
      <c r="F180" s="52"/>
      <c r="G180" s="52"/>
      <c r="H180" s="52"/>
    </row>
    <row r="181" ht="13.5" customHeight="1">
      <c r="F181" s="52"/>
      <c r="G181" s="52"/>
      <c r="H181" s="52"/>
    </row>
    <row r="182" ht="13.5" customHeight="1">
      <c r="F182" s="52"/>
      <c r="G182" s="52"/>
      <c r="H182" s="52"/>
    </row>
    <row r="183" ht="13.5" customHeight="1">
      <c r="F183" s="52"/>
      <c r="G183" s="52"/>
      <c r="H183" s="52"/>
    </row>
    <row r="184" ht="13.5" customHeight="1">
      <c r="F184" s="52"/>
      <c r="G184" s="52"/>
      <c r="H184" s="52"/>
    </row>
    <row r="185" ht="13.5" customHeight="1">
      <c r="F185" s="52"/>
      <c r="G185" s="52"/>
      <c r="H185" s="52"/>
    </row>
    <row r="186" ht="13.5" customHeight="1">
      <c r="F186" s="52"/>
      <c r="G186" s="52"/>
      <c r="H186" s="52"/>
    </row>
    <row r="187" ht="13.5" customHeight="1">
      <c r="F187" s="52"/>
      <c r="G187" s="52"/>
      <c r="H187" s="52"/>
    </row>
    <row r="188" ht="13.5" customHeight="1">
      <c r="F188" s="52"/>
      <c r="G188" s="52"/>
      <c r="H188" s="52"/>
    </row>
    <row r="189" ht="13.5" customHeight="1">
      <c r="F189" s="52"/>
      <c r="G189" s="52"/>
      <c r="H189" s="52"/>
    </row>
    <row r="190" ht="13.5" customHeight="1">
      <c r="F190" s="52"/>
      <c r="G190" s="52"/>
      <c r="H190" s="52"/>
    </row>
    <row r="191" ht="13.5" customHeight="1">
      <c r="F191" s="52"/>
      <c r="G191" s="52"/>
      <c r="H191" s="52"/>
    </row>
    <row r="192" ht="13.5" customHeight="1">
      <c r="F192" s="52"/>
      <c r="G192" s="52"/>
      <c r="H192" s="52"/>
    </row>
    <row r="193" ht="13.5" customHeight="1">
      <c r="F193" s="52"/>
      <c r="G193" s="52"/>
      <c r="H193" s="52"/>
    </row>
    <row r="194" ht="13.5" customHeight="1">
      <c r="F194" s="52"/>
      <c r="G194" s="52"/>
      <c r="H194" s="52"/>
    </row>
    <row r="195" ht="13.5" customHeight="1">
      <c r="F195" s="52"/>
      <c r="G195" s="52"/>
      <c r="H195" s="52"/>
    </row>
    <row r="196" ht="13.5" customHeight="1">
      <c r="F196" s="52"/>
      <c r="G196" s="52"/>
      <c r="H196" s="52"/>
    </row>
    <row r="197" ht="13.5" customHeight="1">
      <c r="F197" s="52"/>
      <c r="G197" s="52"/>
      <c r="H197" s="52"/>
    </row>
    <row r="198" ht="13.5" customHeight="1">
      <c r="F198" s="52"/>
      <c r="G198" s="52"/>
      <c r="H198" s="52"/>
    </row>
    <row r="199" ht="13.5" customHeight="1">
      <c r="F199" s="52"/>
      <c r="G199" s="52"/>
      <c r="H199" s="52"/>
    </row>
    <row r="200" ht="13.5" customHeight="1">
      <c r="F200" s="52"/>
      <c r="G200" s="52"/>
      <c r="H200" s="52"/>
    </row>
    <row r="201" ht="13.5" customHeight="1">
      <c r="F201" s="52"/>
      <c r="G201" s="52"/>
      <c r="H201" s="52"/>
    </row>
    <row r="202" ht="13.5" customHeight="1">
      <c r="F202" s="52"/>
      <c r="G202" s="52"/>
      <c r="H202" s="52"/>
    </row>
    <row r="203" ht="13.5" customHeight="1">
      <c r="F203" s="52"/>
      <c r="G203" s="52"/>
      <c r="H203" s="52"/>
    </row>
    <row r="204" ht="13.5" customHeight="1">
      <c r="F204" s="52"/>
      <c r="G204" s="52"/>
      <c r="H204" s="52"/>
    </row>
    <row r="205" ht="13.5" customHeight="1">
      <c r="F205" s="52"/>
      <c r="G205" s="52"/>
      <c r="H205" s="52"/>
    </row>
    <row r="206" ht="13.5" customHeight="1">
      <c r="F206" s="52"/>
      <c r="G206" s="52"/>
      <c r="H206" s="52"/>
    </row>
    <row r="207" ht="13.5" customHeight="1">
      <c r="F207" s="52"/>
      <c r="G207" s="52"/>
      <c r="H207" s="52"/>
    </row>
    <row r="208" ht="13.5" customHeight="1">
      <c r="F208" s="52"/>
      <c r="G208" s="52"/>
      <c r="H208" s="52"/>
    </row>
    <row r="209" ht="13.5" customHeight="1">
      <c r="F209" s="52"/>
      <c r="G209" s="52"/>
      <c r="H209" s="52"/>
    </row>
    <row r="210" ht="13.5" customHeight="1">
      <c r="F210" s="52"/>
      <c r="G210" s="52"/>
      <c r="H210" s="52"/>
    </row>
    <row r="211" ht="13.5" customHeight="1">
      <c r="F211" s="52"/>
      <c r="G211" s="52"/>
      <c r="H211" s="52"/>
    </row>
    <row r="212" ht="13.5" customHeight="1">
      <c r="F212" s="52"/>
      <c r="G212" s="52"/>
      <c r="H212" s="52"/>
    </row>
    <row r="213" ht="13.5" customHeight="1">
      <c r="F213" s="52"/>
      <c r="G213" s="52"/>
      <c r="H213" s="52"/>
    </row>
    <row r="214" ht="13.5" customHeight="1">
      <c r="F214" s="52"/>
      <c r="G214" s="52"/>
      <c r="H214" s="52"/>
    </row>
    <row r="215" ht="13.5" customHeight="1">
      <c r="F215" s="52"/>
      <c r="G215" s="52"/>
      <c r="H215" s="52"/>
    </row>
    <row r="216" ht="13.5" customHeight="1">
      <c r="F216" s="52"/>
      <c r="G216" s="52"/>
      <c r="H216" s="52"/>
    </row>
    <row r="217" ht="13.5" customHeight="1">
      <c r="F217" s="52"/>
      <c r="G217" s="52"/>
      <c r="H217" s="52"/>
    </row>
    <row r="218" ht="13.5" customHeight="1">
      <c r="F218" s="52"/>
      <c r="G218" s="52"/>
      <c r="H218" s="52"/>
    </row>
    <row r="219" ht="13.5" customHeight="1">
      <c r="F219" s="52"/>
      <c r="G219" s="52"/>
      <c r="H219" s="52"/>
    </row>
    <row r="220" ht="13.5" customHeight="1">
      <c r="F220" s="52"/>
      <c r="G220" s="52"/>
      <c r="H220" s="52"/>
    </row>
    <row r="221" ht="13.5" customHeight="1">
      <c r="F221" s="52"/>
      <c r="G221" s="52"/>
      <c r="H221" s="52"/>
    </row>
    <row r="222" ht="13.5" customHeight="1">
      <c r="F222" s="52"/>
      <c r="G222" s="52"/>
      <c r="H222" s="52"/>
    </row>
    <row r="223" ht="13.5" customHeight="1">
      <c r="F223" s="52"/>
      <c r="G223" s="52"/>
      <c r="H223" s="52"/>
    </row>
    <row r="224" ht="13.5" customHeight="1">
      <c r="F224" s="52"/>
      <c r="G224" s="52"/>
      <c r="H224" s="52"/>
    </row>
    <row r="225" ht="13.5" customHeight="1">
      <c r="F225" s="52"/>
      <c r="G225" s="52"/>
      <c r="H225" s="52"/>
    </row>
    <row r="226" ht="13.5" customHeight="1">
      <c r="F226" s="52"/>
      <c r="G226" s="52"/>
      <c r="H226" s="52"/>
    </row>
    <row r="227" ht="13.5" customHeight="1">
      <c r="F227" s="52"/>
      <c r="G227" s="52"/>
      <c r="H227" s="52"/>
    </row>
    <row r="228" ht="13.5" customHeight="1">
      <c r="F228" s="52"/>
      <c r="G228" s="52"/>
      <c r="H228" s="52"/>
    </row>
    <row r="229" ht="13.5" customHeight="1">
      <c r="F229" s="52"/>
      <c r="G229" s="52"/>
      <c r="H229" s="52"/>
    </row>
    <row r="230" ht="13.5" customHeight="1">
      <c r="F230" s="52"/>
      <c r="G230" s="52"/>
      <c r="H230" s="52"/>
    </row>
    <row r="231" ht="13.5" customHeight="1">
      <c r="F231" s="52"/>
      <c r="G231" s="52"/>
      <c r="H231" s="52"/>
    </row>
    <row r="232" ht="13.5" customHeight="1">
      <c r="F232" s="52"/>
      <c r="G232" s="52"/>
      <c r="H232" s="52"/>
    </row>
    <row r="233" ht="13.5" customHeight="1">
      <c r="F233" s="52"/>
      <c r="G233" s="52"/>
      <c r="H233" s="52"/>
    </row>
    <row r="234" ht="13.5" customHeight="1">
      <c r="F234" s="52"/>
      <c r="G234" s="52"/>
      <c r="H234" s="52"/>
    </row>
    <row r="235" ht="13.5" customHeight="1">
      <c r="F235" s="52"/>
      <c r="G235" s="52"/>
      <c r="H235" s="52"/>
    </row>
    <row r="236" ht="13.5" customHeight="1">
      <c r="F236" s="52"/>
      <c r="G236" s="52"/>
      <c r="H236" s="52"/>
    </row>
    <row r="237" ht="13.5" customHeight="1">
      <c r="F237" s="52"/>
      <c r="G237" s="52"/>
      <c r="H237" s="52"/>
    </row>
    <row r="238" ht="13.5" customHeight="1">
      <c r="F238" s="52"/>
      <c r="G238" s="52"/>
      <c r="H238" s="52"/>
    </row>
    <row r="239" ht="13.5" customHeight="1">
      <c r="F239" s="52"/>
      <c r="G239" s="52"/>
      <c r="H239" s="52"/>
    </row>
    <row r="240" ht="13.5" customHeight="1">
      <c r="F240" s="52"/>
      <c r="G240" s="52"/>
      <c r="H240" s="52"/>
    </row>
    <row r="241" ht="13.5" customHeight="1">
      <c r="F241" s="52"/>
      <c r="G241" s="52"/>
      <c r="H241" s="52"/>
    </row>
    <row r="242" ht="13.5" customHeight="1">
      <c r="F242" s="52"/>
      <c r="G242" s="52"/>
      <c r="H242" s="52"/>
    </row>
    <row r="243" ht="13.5" customHeight="1">
      <c r="F243" s="52"/>
      <c r="G243" s="52"/>
      <c r="H243" s="52"/>
    </row>
    <row r="244" ht="13.5" customHeight="1">
      <c r="F244" s="52"/>
      <c r="G244" s="52"/>
      <c r="H244" s="52"/>
    </row>
    <row r="245" ht="13.5" customHeight="1">
      <c r="F245" s="52"/>
      <c r="G245" s="52"/>
      <c r="H245" s="52"/>
    </row>
    <row r="246" ht="13.5" customHeight="1">
      <c r="F246" s="52"/>
      <c r="G246" s="52"/>
      <c r="H246" s="52"/>
    </row>
    <row r="247" ht="13.5" customHeight="1">
      <c r="F247" s="52"/>
      <c r="G247" s="52"/>
      <c r="H247" s="52"/>
    </row>
    <row r="248" ht="13.5" customHeight="1">
      <c r="F248" s="52"/>
      <c r="G248" s="52"/>
      <c r="H248" s="52"/>
    </row>
    <row r="249" ht="13.5" customHeight="1">
      <c r="F249" s="52"/>
      <c r="G249" s="52"/>
      <c r="H249" s="52"/>
    </row>
    <row r="250" ht="13.5" customHeight="1">
      <c r="F250" s="52"/>
      <c r="G250" s="52"/>
      <c r="H250" s="52"/>
    </row>
    <row r="251" ht="13.5" customHeight="1">
      <c r="F251" s="52"/>
      <c r="G251" s="52"/>
      <c r="H251" s="52"/>
    </row>
    <row r="252" ht="13.5" customHeight="1">
      <c r="F252" s="52"/>
      <c r="G252" s="52"/>
      <c r="H252" s="52"/>
    </row>
    <row r="253" ht="13.5" customHeight="1">
      <c r="F253" s="52"/>
      <c r="G253" s="52"/>
      <c r="H253" s="52"/>
    </row>
    <row r="254" ht="13.5" customHeight="1">
      <c r="F254" s="52"/>
      <c r="G254" s="52"/>
      <c r="H254" s="52"/>
    </row>
    <row r="255" ht="13.5" customHeight="1">
      <c r="F255" s="52"/>
      <c r="G255" s="52"/>
      <c r="H255" s="52"/>
    </row>
    <row r="256" ht="13.5" customHeight="1">
      <c r="F256" s="52"/>
      <c r="G256" s="52"/>
      <c r="H256" s="52"/>
    </row>
    <row r="257" ht="13.5" customHeight="1">
      <c r="F257" s="52"/>
      <c r="G257" s="52"/>
      <c r="H257" s="52"/>
    </row>
    <row r="258" ht="13.5" customHeight="1">
      <c r="F258" s="52"/>
      <c r="G258" s="52"/>
      <c r="H258" s="52"/>
    </row>
    <row r="259" ht="13.5" customHeight="1">
      <c r="F259" s="52"/>
      <c r="G259" s="52"/>
      <c r="H259" s="52"/>
    </row>
    <row r="260" ht="13.5" customHeight="1">
      <c r="F260" s="52"/>
      <c r="G260" s="52"/>
      <c r="H260" s="52"/>
    </row>
    <row r="261" ht="13.5" customHeight="1">
      <c r="F261" s="52"/>
      <c r="G261" s="52"/>
      <c r="H261" s="52"/>
    </row>
    <row r="262" ht="13.5" customHeight="1">
      <c r="F262" s="52"/>
      <c r="G262" s="52"/>
      <c r="H262" s="52"/>
    </row>
    <row r="263" ht="13.5" customHeight="1">
      <c r="F263" s="52"/>
      <c r="G263" s="52"/>
      <c r="H263" s="52"/>
    </row>
    <row r="264" ht="13.5" customHeight="1">
      <c r="F264" s="52"/>
      <c r="G264" s="52"/>
      <c r="H264" s="52"/>
    </row>
    <row r="265" ht="13.5" customHeight="1">
      <c r="F265" s="52"/>
      <c r="G265" s="52"/>
      <c r="H265" s="52"/>
    </row>
    <row r="266" ht="13.5" customHeight="1">
      <c r="F266" s="52"/>
      <c r="G266" s="52"/>
      <c r="H266" s="52"/>
    </row>
    <row r="267" ht="13.5" customHeight="1">
      <c r="F267" s="52"/>
      <c r="G267" s="52"/>
      <c r="H267" s="52"/>
    </row>
    <row r="268" ht="13.5" customHeight="1">
      <c r="F268" s="52"/>
      <c r="G268" s="52"/>
      <c r="H268" s="52"/>
    </row>
    <row r="269" ht="13.5" customHeight="1">
      <c r="F269" s="52"/>
      <c r="G269" s="52"/>
      <c r="H269" s="52"/>
    </row>
    <row r="270" ht="13.5" customHeight="1">
      <c r="F270" s="52"/>
      <c r="G270" s="52"/>
      <c r="H270" s="52"/>
    </row>
    <row r="271" ht="13.5" customHeight="1">
      <c r="F271" s="52"/>
      <c r="G271" s="52"/>
      <c r="H271" s="52"/>
    </row>
    <row r="272" ht="13.5" customHeight="1">
      <c r="F272" s="52"/>
      <c r="G272" s="52"/>
      <c r="H272" s="52"/>
    </row>
    <row r="273" ht="13.5" customHeight="1">
      <c r="F273" s="52"/>
      <c r="G273" s="52"/>
      <c r="H273" s="52"/>
    </row>
    <row r="274" ht="13.5" customHeight="1">
      <c r="F274" s="52"/>
      <c r="G274" s="52"/>
      <c r="H274" s="52"/>
    </row>
    <row r="275" ht="13.5" customHeight="1">
      <c r="F275" s="52"/>
      <c r="G275" s="52"/>
      <c r="H275" s="52"/>
    </row>
    <row r="276" ht="13.5" customHeight="1">
      <c r="F276" s="52"/>
      <c r="G276" s="52"/>
      <c r="H276" s="52"/>
    </row>
    <row r="277" ht="13.5" customHeight="1">
      <c r="F277" s="52"/>
      <c r="G277" s="52"/>
      <c r="H277" s="52"/>
    </row>
    <row r="278" ht="13.5" customHeight="1">
      <c r="F278" s="52"/>
      <c r="G278" s="52"/>
      <c r="H278" s="52"/>
    </row>
    <row r="279" ht="13.5" customHeight="1">
      <c r="F279" s="52"/>
      <c r="G279" s="52"/>
      <c r="H279" s="52"/>
    </row>
    <row r="280" ht="13.5" customHeight="1">
      <c r="F280" s="52"/>
      <c r="G280" s="52"/>
      <c r="H280" s="52"/>
    </row>
    <row r="281" ht="13.5" customHeight="1">
      <c r="F281" s="52"/>
      <c r="G281" s="52"/>
      <c r="H281" s="52"/>
    </row>
    <row r="282" ht="13.5" customHeight="1">
      <c r="F282" s="52"/>
      <c r="G282" s="52"/>
      <c r="H282" s="52"/>
    </row>
    <row r="283" ht="13.5" customHeight="1">
      <c r="F283" s="52"/>
      <c r="G283" s="52"/>
      <c r="H283" s="52"/>
    </row>
    <row r="284" ht="13.5" customHeight="1">
      <c r="F284" s="52"/>
      <c r="G284" s="52"/>
      <c r="H284" s="52"/>
    </row>
    <row r="285" ht="13.5" customHeight="1">
      <c r="F285" s="52"/>
      <c r="G285" s="52"/>
      <c r="H285" s="52"/>
    </row>
    <row r="286" ht="13.5" customHeight="1">
      <c r="F286" s="52"/>
      <c r="G286" s="52"/>
      <c r="H286" s="52"/>
    </row>
    <row r="287" ht="13.5" customHeight="1">
      <c r="F287" s="52"/>
      <c r="G287" s="52"/>
      <c r="H287" s="52"/>
    </row>
    <row r="288" ht="13.5" customHeight="1">
      <c r="F288" s="52"/>
      <c r="G288" s="52"/>
      <c r="H288" s="52"/>
    </row>
    <row r="289" ht="13.5" customHeight="1">
      <c r="F289" s="52"/>
      <c r="G289" s="52"/>
      <c r="H289" s="52"/>
    </row>
    <row r="290" ht="13.5" customHeight="1">
      <c r="F290" s="52"/>
      <c r="G290" s="52"/>
      <c r="H290" s="52"/>
    </row>
    <row r="291" ht="13.5" customHeight="1">
      <c r="F291" s="52"/>
      <c r="G291" s="52"/>
      <c r="H291" s="52"/>
    </row>
    <row r="292" ht="13.5" customHeight="1">
      <c r="F292" s="52"/>
      <c r="G292" s="52"/>
      <c r="H292" s="52"/>
    </row>
    <row r="293" ht="13.5" customHeight="1">
      <c r="F293" s="52"/>
      <c r="G293" s="52"/>
      <c r="H293" s="52"/>
    </row>
    <row r="294" ht="13.5" customHeight="1">
      <c r="F294" s="52"/>
      <c r="G294" s="52"/>
      <c r="H294" s="52"/>
    </row>
    <row r="295" ht="13.5" customHeight="1">
      <c r="F295" s="52"/>
      <c r="G295" s="52"/>
      <c r="H295" s="52"/>
    </row>
    <row r="296" ht="13.5" customHeight="1">
      <c r="F296" s="52"/>
      <c r="G296" s="52"/>
      <c r="H296" s="52"/>
    </row>
    <row r="297" ht="13.5" customHeight="1">
      <c r="F297" s="52"/>
      <c r="G297" s="52"/>
      <c r="H297" s="52"/>
    </row>
    <row r="298" ht="13.5" customHeight="1">
      <c r="F298" s="52"/>
      <c r="G298" s="52"/>
      <c r="H298" s="52"/>
    </row>
    <row r="299" ht="13.5" customHeight="1">
      <c r="F299" s="52"/>
      <c r="G299" s="52"/>
      <c r="H299" s="52"/>
    </row>
    <row r="300" ht="13.5" customHeight="1">
      <c r="F300" s="52"/>
      <c r="G300" s="52"/>
      <c r="H300" s="52"/>
    </row>
    <row r="301" ht="13.5" customHeight="1">
      <c r="F301" s="52"/>
      <c r="G301" s="52"/>
      <c r="H301" s="52"/>
    </row>
    <row r="302" ht="13.5" customHeight="1">
      <c r="F302" s="52"/>
      <c r="G302" s="52"/>
      <c r="H302" s="52"/>
    </row>
    <row r="303" ht="13.5" customHeight="1">
      <c r="F303" s="52"/>
      <c r="G303" s="52"/>
      <c r="H303" s="52"/>
    </row>
    <row r="304" ht="13.5" customHeight="1">
      <c r="F304" s="52"/>
      <c r="G304" s="52"/>
      <c r="H304" s="52"/>
    </row>
    <row r="305" ht="13.5" customHeight="1">
      <c r="F305" s="52"/>
      <c r="G305" s="52"/>
      <c r="H305" s="52"/>
    </row>
    <row r="306" ht="13.5" customHeight="1">
      <c r="F306" s="52"/>
      <c r="G306" s="52"/>
      <c r="H306" s="52"/>
    </row>
    <row r="307" ht="13.5" customHeight="1">
      <c r="F307" s="52"/>
      <c r="G307" s="52"/>
      <c r="H307" s="52"/>
    </row>
    <row r="308" ht="13.5" customHeight="1">
      <c r="F308" s="52"/>
      <c r="G308" s="52"/>
      <c r="H308" s="52"/>
    </row>
    <row r="309" ht="13.5" customHeight="1">
      <c r="F309" s="52"/>
      <c r="G309" s="52"/>
      <c r="H309" s="52"/>
    </row>
    <row r="310" ht="13.5" customHeight="1">
      <c r="F310" s="52"/>
      <c r="G310" s="52"/>
      <c r="H310" s="52"/>
    </row>
    <row r="311" ht="13.5" customHeight="1">
      <c r="F311" s="52"/>
      <c r="G311" s="52"/>
      <c r="H311" s="52"/>
    </row>
    <row r="312" ht="13.5" customHeight="1">
      <c r="F312" s="52"/>
      <c r="G312" s="52"/>
      <c r="H312" s="52"/>
    </row>
    <row r="313" ht="13.5" customHeight="1">
      <c r="F313" s="52"/>
      <c r="G313" s="52"/>
      <c r="H313" s="52"/>
    </row>
    <row r="314" ht="13.5" customHeight="1">
      <c r="F314" s="52"/>
      <c r="G314" s="52"/>
      <c r="H314" s="52"/>
    </row>
    <row r="315" ht="13.5" customHeight="1">
      <c r="F315" s="52"/>
      <c r="G315" s="52"/>
      <c r="H315" s="52"/>
    </row>
    <row r="316" ht="13.5" customHeight="1">
      <c r="F316" s="52"/>
      <c r="G316" s="52"/>
      <c r="H316" s="52"/>
    </row>
    <row r="317" ht="13.5" customHeight="1">
      <c r="F317" s="52"/>
      <c r="G317" s="52"/>
      <c r="H317" s="52"/>
    </row>
    <row r="318" ht="13.5" customHeight="1">
      <c r="F318" s="52"/>
      <c r="G318" s="52"/>
      <c r="H318" s="52"/>
    </row>
    <row r="319" ht="13.5" customHeight="1">
      <c r="F319" s="52"/>
      <c r="G319" s="52"/>
      <c r="H319" s="52"/>
    </row>
    <row r="320" ht="13.5" customHeight="1">
      <c r="F320" s="52"/>
      <c r="G320" s="52"/>
      <c r="H320" s="52"/>
    </row>
    <row r="321" ht="13.5" customHeight="1">
      <c r="F321" s="52"/>
      <c r="G321" s="52"/>
      <c r="H321" s="52"/>
    </row>
    <row r="322" ht="13.5" customHeight="1">
      <c r="F322" s="52"/>
      <c r="G322" s="52"/>
      <c r="H322" s="52"/>
    </row>
    <row r="323" ht="13.5" customHeight="1">
      <c r="F323" s="52"/>
      <c r="G323" s="52"/>
      <c r="H323" s="52"/>
    </row>
    <row r="324" ht="13.5" customHeight="1">
      <c r="F324" s="52"/>
      <c r="G324" s="52"/>
      <c r="H324" s="52"/>
    </row>
    <row r="325" ht="13.5" customHeight="1">
      <c r="F325" s="52"/>
      <c r="G325" s="52"/>
      <c r="H325" s="52"/>
    </row>
    <row r="326" ht="13.5" customHeight="1">
      <c r="F326" s="52"/>
      <c r="G326" s="52"/>
      <c r="H326" s="52"/>
    </row>
    <row r="327" ht="13.5" customHeight="1">
      <c r="F327" s="52"/>
      <c r="G327" s="52"/>
      <c r="H327" s="52"/>
    </row>
    <row r="328" ht="13.5" customHeight="1">
      <c r="F328" s="52"/>
      <c r="G328" s="52"/>
      <c r="H328" s="52"/>
    </row>
    <row r="329" ht="13.5" customHeight="1">
      <c r="F329" s="52"/>
      <c r="G329" s="52"/>
      <c r="H329" s="52"/>
    </row>
    <row r="330" ht="13.5" customHeight="1">
      <c r="F330" s="52"/>
      <c r="G330" s="52"/>
      <c r="H330" s="52"/>
    </row>
    <row r="331" ht="13.5" customHeight="1">
      <c r="F331" s="52"/>
      <c r="G331" s="52"/>
      <c r="H331" s="52"/>
    </row>
    <row r="332" ht="13.5" customHeight="1">
      <c r="F332" s="52"/>
      <c r="G332" s="52"/>
      <c r="H332" s="52"/>
    </row>
    <row r="333" ht="13.5" customHeight="1">
      <c r="F333" s="52"/>
      <c r="G333" s="52"/>
      <c r="H333" s="52"/>
    </row>
    <row r="334" ht="13.5" customHeight="1">
      <c r="F334" s="52"/>
      <c r="G334" s="52"/>
      <c r="H334" s="52"/>
    </row>
    <row r="335" ht="13.5" customHeight="1">
      <c r="F335" s="52"/>
      <c r="G335" s="52"/>
      <c r="H335" s="52"/>
    </row>
    <row r="336" ht="13.5" customHeight="1">
      <c r="F336" s="52"/>
      <c r="G336" s="52"/>
      <c r="H336" s="52"/>
    </row>
    <row r="337" ht="13.5" customHeight="1">
      <c r="F337" s="52"/>
      <c r="G337" s="52"/>
      <c r="H337" s="52"/>
    </row>
    <row r="338" ht="13.5" customHeight="1">
      <c r="F338" s="52"/>
      <c r="G338" s="52"/>
      <c r="H338" s="52"/>
    </row>
    <row r="339" ht="13.5" customHeight="1">
      <c r="F339" s="52"/>
      <c r="G339" s="52"/>
      <c r="H339" s="52"/>
    </row>
    <row r="340" ht="13.5" customHeight="1">
      <c r="F340" s="52"/>
      <c r="G340" s="52"/>
      <c r="H340" s="52"/>
    </row>
    <row r="341" ht="13.5" customHeight="1">
      <c r="F341" s="52"/>
      <c r="G341" s="52"/>
      <c r="H341" s="52"/>
    </row>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I2"/>
    <mergeCell ref="A3:I3"/>
  </mergeCells>
  <dataValidations>
    <dataValidation type="list" allowBlank="1" sqref="G6:G141">
      <formula1>"Mới,Cần làm rõ,Sẵn sàng,Đang làm,Hoàn tất"</formula1>
    </dataValidation>
    <dataValidation type="list" allowBlank="1" sqref="E6:E141">
      <formula1>"Cao,Trung bình,Thấp"</formula1>
    </dataValidation>
  </dataValidations>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2.63" defaultRowHeight="15.0"/>
  <cols>
    <col customWidth="1" min="1" max="1" width="15.0"/>
    <col customWidth="1" min="2" max="2" width="18.0"/>
    <col customWidth="1" min="3" max="3" width="16.0"/>
    <col customWidth="1" min="4" max="4" width="49.0"/>
    <col customWidth="1" min="5" max="5" width="23.0"/>
    <col customWidth="1" min="6" max="6" width="18.0"/>
    <col customWidth="1" min="7" max="8" width="13.0"/>
    <col customWidth="1" min="9" max="9" width="20.0"/>
    <col customWidth="1" min="10" max="10" width="45.0"/>
  </cols>
  <sheetData>
    <row r="1" ht="24.75" customHeight="1">
      <c r="A1" s="2" t="s">
        <v>43</v>
      </c>
      <c r="B1" s="3"/>
      <c r="C1" s="3"/>
      <c r="D1" s="3"/>
      <c r="E1" s="3"/>
      <c r="F1" s="3"/>
      <c r="G1" s="3"/>
      <c r="H1" s="3"/>
      <c r="I1" s="3"/>
      <c r="J1" s="4"/>
    </row>
    <row r="2" ht="24.75" customHeight="1">
      <c r="A2" s="5"/>
      <c r="B2" s="6"/>
      <c r="C2" s="6"/>
      <c r="D2" s="6"/>
      <c r="E2" s="6"/>
      <c r="F2" s="6"/>
      <c r="G2" s="6"/>
      <c r="H2" s="6"/>
      <c r="I2" s="6"/>
      <c r="J2" s="7"/>
    </row>
    <row r="3" ht="30.0" customHeight="1">
      <c r="A3" s="32" t="s">
        <v>50</v>
      </c>
      <c r="B3" s="9"/>
      <c r="C3" s="9"/>
      <c r="D3" s="9"/>
      <c r="E3" s="9"/>
      <c r="F3" s="9"/>
      <c r="G3" s="9"/>
      <c r="H3" s="9"/>
      <c r="I3" s="9"/>
      <c r="J3" s="10"/>
    </row>
    <row r="4" ht="13.5" customHeight="1">
      <c r="A4" s="33"/>
      <c r="B4" s="33"/>
      <c r="C4" s="33"/>
      <c r="D4" s="33"/>
      <c r="E4" s="33"/>
      <c r="F4" s="34"/>
      <c r="G4" s="34"/>
      <c r="H4" s="34"/>
      <c r="I4" s="33"/>
      <c r="J4" s="33"/>
    </row>
    <row r="5" ht="33.75" customHeight="1">
      <c r="A5" s="37" t="s">
        <v>61</v>
      </c>
      <c r="B5" s="37" t="s">
        <v>10</v>
      </c>
      <c r="C5" s="37" t="s">
        <v>75</v>
      </c>
      <c r="D5" s="37" t="s">
        <v>78</v>
      </c>
      <c r="E5" s="37" t="s">
        <v>79</v>
      </c>
      <c r="F5" s="40" t="s">
        <v>81</v>
      </c>
      <c r="G5" s="40" t="s">
        <v>82</v>
      </c>
      <c r="H5" s="40" t="s">
        <v>84</v>
      </c>
      <c r="I5" s="37" t="s">
        <v>85</v>
      </c>
      <c r="J5" s="37" t="s">
        <v>87</v>
      </c>
    </row>
    <row r="6" ht="37.5" customHeight="1">
      <c r="A6" s="41" t="s">
        <v>89</v>
      </c>
      <c r="B6" s="41" t="s">
        <v>20</v>
      </c>
      <c r="C6" s="41" t="s">
        <v>91</v>
      </c>
      <c r="D6" s="41" t="s">
        <v>92</v>
      </c>
      <c r="E6" s="41" t="s">
        <v>29</v>
      </c>
      <c r="F6" s="42">
        <v>2.0</v>
      </c>
      <c r="G6" s="42">
        <v>0.0</v>
      </c>
      <c r="H6" s="42">
        <f t="shared" ref="H6:H195" si="1">IF(F6="","",MAX(0,F6-G6))</f>
        <v>2</v>
      </c>
      <c r="I6" s="41" t="s">
        <v>107</v>
      </c>
      <c r="J6" s="41" t="s">
        <v>109</v>
      </c>
    </row>
    <row r="7" ht="37.5" customHeight="1">
      <c r="A7" s="48" t="s">
        <v>111</v>
      </c>
      <c r="B7" s="48" t="s">
        <v>20</v>
      </c>
      <c r="C7" s="48" t="s">
        <v>113</v>
      </c>
      <c r="D7" s="48" t="s">
        <v>115</v>
      </c>
      <c r="E7" s="48" t="s">
        <v>29</v>
      </c>
      <c r="F7" s="49">
        <v>2.0</v>
      </c>
      <c r="G7" s="49">
        <v>0.0</v>
      </c>
      <c r="H7" s="49">
        <f t="shared" si="1"/>
        <v>2</v>
      </c>
      <c r="I7" s="48" t="s">
        <v>107</v>
      </c>
      <c r="J7" s="48" t="s">
        <v>109</v>
      </c>
    </row>
    <row r="8" ht="37.5" customHeight="1">
      <c r="A8" s="41" t="s">
        <v>121</v>
      </c>
      <c r="B8" s="41" t="s">
        <v>20</v>
      </c>
      <c r="C8" s="41" t="s">
        <v>91</v>
      </c>
      <c r="D8" s="41" t="s">
        <v>124</v>
      </c>
      <c r="E8" s="41" t="s">
        <v>29</v>
      </c>
      <c r="F8" s="42">
        <v>11.0</v>
      </c>
      <c r="G8" s="42">
        <v>0.0</v>
      </c>
      <c r="H8" s="42">
        <f t="shared" si="1"/>
        <v>11</v>
      </c>
      <c r="I8" s="41" t="s">
        <v>125</v>
      </c>
      <c r="J8" s="41" t="s">
        <v>126</v>
      </c>
    </row>
    <row r="9" ht="37.5" customHeight="1">
      <c r="A9" s="48" t="s">
        <v>130</v>
      </c>
      <c r="B9" s="48" t="s">
        <v>20</v>
      </c>
      <c r="C9" s="48" t="s">
        <v>134</v>
      </c>
      <c r="D9" s="48" t="s">
        <v>135</v>
      </c>
      <c r="E9" s="48" t="s">
        <v>29</v>
      </c>
      <c r="F9" s="49">
        <v>4.0</v>
      </c>
      <c r="G9" s="49">
        <v>0.0</v>
      </c>
      <c r="H9" s="49">
        <f t="shared" si="1"/>
        <v>4</v>
      </c>
      <c r="I9" s="48" t="s">
        <v>125</v>
      </c>
      <c r="J9" s="48" t="s">
        <v>139</v>
      </c>
    </row>
    <row r="10" ht="37.5" customHeight="1">
      <c r="A10" s="41" t="s">
        <v>142</v>
      </c>
      <c r="B10" s="41" t="s">
        <v>20</v>
      </c>
      <c r="C10" s="41" t="s">
        <v>113</v>
      </c>
      <c r="D10" s="41" t="s">
        <v>145</v>
      </c>
      <c r="E10" s="41" t="s">
        <v>29</v>
      </c>
      <c r="F10" s="42">
        <v>2.0</v>
      </c>
      <c r="G10" s="42">
        <v>0.0</v>
      </c>
      <c r="H10" s="42">
        <f t="shared" si="1"/>
        <v>2</v>
      </c>
      <c r="I10" s="41" t="s">
        <v>125</v>
      </c>
      <c r="J10" s="41" t="s">
        <v>149</v>
      </c>
    </row>
    <row r="11" ht="37.5" customHeight="1">
      <c r="A11" s="48" t="s">
        <v>150</v>
      </c>
      <c r="B11" s="48" t="s">
        <v>20</v>
      </c>
      <c r="C11" s="48" t="s">
        <v>91</v>
      </c>
      <c r="D11" s="48" t="s">
        <v>152</v>
      </c>
      <c r="E11" s="48" t="s">
        <v>29</v>
      </c>
      <c r="F11" s="49">
        <v>2.0</v>
      </c>
      <c r="G11" s="49">
        <v>0.0</v>
      </c>
      <c r="H11" s="49">
        <f t="shared" si="1"/>
        <v>2</v>
      </c>
      <c r="I11" s="48" t="s">
        <v>125</v>
      </c>
      <c r="J11" s="48" t="s">
        <v>126</v>
      </c>
    </row>
    <row r="12" ht="37.5" customHeight="1">
      <c r="A12" s="41" t="s">
        <v>155</v>
      </c>
      <c r="B12" s="41" t="s">
        <v>20</v>
      </c>
      <c r="C12" s="41" t="s">
        <v>157</v>
      </c>
      <c r="D12" s="41" t="s">
        <v>159</v>
      </c>
      <c r="E12" s="41" t="s">
        <v>29</v>
      </c>
      <c r="F12" s="42">
        <v>2.0</v>
      </c>
      <c r="G12" s="42">
        <v>0.0</v>
      </c>
      <c r="H12" s="42">
        <f t="shared" si="1"/>
        <v>2</v>
      </c>
      <c r="I12" s="41" t="s">
        <v>125</v>
      </c>
      <c r="J12" s="41" t="s">
        <v>139</v>
      </c>
    </row>
    <row r="13" ht="37.5" customHeight="1">
      <c r="A13" s="31" t="s">
        <v>171</v>
      </c>
      <c r="B13" s="31" t="s">
        <v>20</v>
      </c>
      <c r="C13" s="31" t="s">
        <v>173</v>
      </c>
      <c r="D13" s="31" t="s">
        <v>174</v>
      </c>
      <c r="E13" s="31" t="s">
        <v>29</v>
      </c>
      <c r="F13" s="30">
        <v>1.0</v>
      </c>
      <c r="G13" s="30">
        <v>0.0</v>
      </c>
      <c r="H13" s="30">
        <f t="shared" si="1"/>
        <v>1</v>
      </c>
      <c r="I13" s="31" t="s">
        <v>125</v>
      </c>
      <c r="J13" s="31" t="s">
        <v>139</v>
      </c>
    </row>
    <row r="14" ht="37.5" customHeight="1">
      <c r="A14" s="19" t="s">
        <v>179</v>
      </c>
      <c r="B14" s="19" t="s">
        <v>20</v>
      </c>
      <c r="C14" s="19" t="s">
        <v>134</v>
      </c>
      <c r="D14" s="19" t="s">
        <v>181</v>
      </c>
      <c r="E14" s="19" t="s">
        <v>29</v>
      </c>
      <c r="F14" s="16">
        <v>1.0</v>
      </c>
      <c r="G14" s="16">
        <v>0.0</v>
      </c>
      <c r="H14" s="16">
        <f t="shared" si="1"/>
        <v>1</v>
      </c>
      <c r="I14" s="19" t="s">
        <v>125</v>
      </c>
      <c r="J14" s="19" t="s">
        <v>139</v>
      </c>
    </row>
    <row r="15" ht="37.5" customHeight="1">
      <c r="A15" s="31" t="s">
        <v>182</v>
      </c>
      <c r="B15" s="31" t="s">
        <v>20</v>
      </c>
      <c r="C15" s="31" t="s">
        <v>91</v>
      </c>
      <c r="D15" s="31" t="s">
        <v>183</v>
      </c>
      <c r="E15" s="31" t="s">
        <v>29</v>
      </c>
      <c r="F15" s="30">
        <v>1.0</v>
      </c>
      <c r="G15" s="30">
        <v>0.0</v>
      </c>
      <c r="H15" s="30">
        <f t="shared" si="1"/>
        <v>1</v>
      </c>
      <c r="I15" s="31" t="s">
        <v>125</v>
      </c>
      <c r="J15" s="31" t="s">
        <v>126</v>
      </c>
    </row>
    <row r="16" ht="37.5" customHeight="1">
      <c r="A16" s="19" t="s">
        <v>187</v>
      </c>
      <c r="B16" s="19" t="s">
        <v>20</v>
      </c>
      <c r="C16" s="19" t="s">
        <v>189</v>
      </c>
      <c r="D16" s="19" t="s">
        <v>190</v>
      </c>
      <c r="E16" s="19" t="s">
        <v>25</v>
      </c>
      <c r="F16" s="16">
        <v>3.0</v>
      </c>
      <c r="G16" s="16">
        <v>0.0</v>
      </c>
      <c r="H16" s="16">
        <f t="shared" si="1"/>
        <v>3</v>
      </c>
      <c r="I16" s="19" t="s">
        <v>107</v>
      </c>
      <c r="J16" s="19" t="s">
        <v>109</v>
      </c>
    </row>
    <row r="17" ht="37.5" customHeight="1">
      <c r="A17" s="31" t="s">
        <v>193</v>
      </c>
      <c r="B17" s="31" t="s">
        <v>20</v>
      </c>
      <c r="C17" s="31" t="s">
        <v>173</v>
      </c>
      <c r="D17" s="31" t="s">
        <v>195</v>
      </c>
      <c r="E17" s="31" t="s">
        <v>25</v>
      </c>
      <c r="F17" s="30">
        <v>1.0</v>
      </c>
      <c r="G17" s="30">
        <v>0.0</v>
      </c>
      <c r="H17" s="30">
        <f t="shared" si="1"/>
        <v>1</v>
      </c>
      <c r="I17" s="31" t="s">
        <v>125</v>
      </c>
      <c r="J17" s="31" t="s">
        <v>139</v>
      </c>
    </row>
    <row r="18" ht="37.5" customHeight="1">
      <c r="A18" s="19" t="s">
        <v>198</v>
      </c>
      <c r="B18" s="19" t="s">
        <v>20</v>
      </c>
      <c r="C18" s="19" t="s">
        <v>173</v>
      </c>
      <c r="D18" s="19" t="s">
        <v>201</v>
      </c>
      <c r="E18" s="19" t="s">
        <v>25</v>
      </c>
      <c r="F18" s="16">
        <v>2.0</v>
      </c>
      <c r="G18" s="16">
        <v>0.0</v>
      </c>
      <c r="H18" s="16">
        <f t="shared" si="1"/>
        <v>2</v>
      </c>
      <c r="I18" s="19" t="s">
        <v>125</v>
      </c>
      <c r="J18" s="19" t="s">
        <v>139</v>
      </c>
    </row>
    <row r="19" ht="37.5" customHeight="1">
      <c r="A19" s="31" t="s">
        <v>204</v>
      </c>
      <c r="B19" s="31" t="s">
        <v>20</v>
      </c>
      <c r="C19" s="31" t="s">
        <v>173</v>
      </c>
      <c r="D19" s="31" t="s">
        <v>206</v>
      </c>
      <c r="E19" s="31" t="s">
        <v>25</v>
      </c>
      <c r="F19" s="30">
        <v>5.0</v>
      </c>
      <c r="G19" s="30">
        <v>0.0</v>
      </c>
      <c r="H19" s="30">
        <f t="shared" si="1"/>
        <v>5</v>
      </c>
      <c r="I19" s="31" t="s">
        <v>125</v>
      </c>
      <c r="J19" s="31" t="s">
        <v>139</v>
      </c>
    </row>
    <row r="20" ht="37.5" customHeight="1">
      <c r="A20" s="19" t="s">
        <v>210</v>
      </c>
      <c r="B20" s="19" t="s">
        <v>20</v>
      </c>
      <c r="C20" s="19" t="s">
        <v>173</v>
      </c>
      <c r="D20" s="19" t="s">
        <v>211</v>
      </c>
      <c r="E20" s="19" t="s">
        <v>25</v>
      </c>
      <c r="F20" s="16">
        <v>4.0</v>
      </c>
      <c r="G20" s="16">
        <v>0.0</v>
      </c>
      <c r="H20" s="16">
        <f t="shared" si="1"/>
        <v>4</v>
      </c>
      <c r="I20" s="19" t="s">
        <v>125</v>
      </c>
      <c r="J20" s="19" t="s">
        <v>139</v>
      </c>
    </row>
    <row r="21" ht="37.5" customHeight="1">
      <c r="A21" s="31" t="s">
        <v>214</v>
      </c>
      <c r="B21" s="31" t="s">
        <v>20</v>
      </c>
      <c r="C21" s="31" t="s">
        <v>173</v>
      </c>
      <c r="D21" s="31" t="s">
        <v>215</v>
      </c>
      <c r="E21" s="31" t="s">
        <v>25</v>
      </c>
      <c r="F21" s="30">
        <v>5.0</v>
      </c>
      <c r="G21" s="30">
        <v>0.0</v>
      </c>
      <c r="H21" s="30">
        <f t="shared" si="1"/>
        <v>5</v>
      </c>
      <c r="I21" s="31" t="s">
        <v>125</v>
      </c>
      <c r="J21" s="31" t="s">
        <v>139</v>
      </c>
    </row>
    <row r="22" ht="37.5" customHeight="1">
      <c r="A22" s="19" t="s">
        <v>217</v>
      </c>
      <c r="B22" s="19" t="s">
        <v>20</v>
      </c>
      <c r="C22" s="19" t="s">
        <v>173</v>
      </c>
      <c r="D22" s="19" t="s">
        <v>218</v>
      </c>
      <c r="E22" s="19" t="s">
        <v>25</v>
      </c>
      <c r="F22" s="16">
        <v>6.0</v>
      </c>
      <c r="G22" s="16">
        <v>0.0</v>
      </c>
      <c r="H22" s="16">
        <f t="shared" si="1"/>
        <v>6</v>
      </c>
      <c r="I22" s="19" t="s">
        <v>125</v>
      </c>
      <c r="J22" s="19" t="s">
        <v>139</v>
      </c>
    </row>
    <row r="23" ht="37.5" customHeight="1">
      <c r="A23" s="31" t="s">
        <v>222</v>
      </c>
      <c r="B23" s="31" t="s">
        <v>20</v>
      </c>
      <c r="C23" s="31" t="s">
        <v>224</v>
      </c>
      <c r="D23" s="31" t="s">
        <v>225</v>
      </c>
      <c r="E23" s="31" t="s">
        <v>25</v>
      </c>
      <c r="F23" s="30">
        <v>4.0</v>
      </c>
      <c r="G23" s="30">
        <v>0.0</v>
      </c>
      <c r="H23" s="30">
        <f t="shared" si="1"/>
        <v>4</v>
      </c>
      <c r="I23" s="31" t="s">
        <v>125</v>
      </c>
      <c r="J23" s="31" t="s">
        <v>139</v>
      </c>
    </row>
    <row r="24" ht="37.5" customHeight="1">
      <c r="A24" s="19" t="s">
        <v>228</v>
      </c>
      <c r="B24" s="19" t="s">
        <v>20</v>
      </c>
      <c r="C24" s="19" t="s">
        <v>224</v>
      </c>
      <c r="D24" s="19" t="s">
        <v>230</v>
      </c>
      <c r="E24" s="19" t="s">
        <v>25</v>
      </c>
      <c r="F24" s="16">
        <v>3.0</v>
      </c>
      <c r="G24" s="16">
        <v>0.0</v>
      </c>
      <c r="H24" s="16">
        <f t="shared" si="1"/>
        <v>3</v>
      </c>
      <c r="I24" s="19" t="s">
        <v>125</v>
      </c>
      <c r="J24" s="19" t="s">
        <v>139</v>
      </c>
    </row>
    <row r="25" ht="37.5" customHeight="1">
      <c r="A25" s="31" t="s">
        <v>232</v>
      </c>
      <c r="B25" s="31" t="s">
        <v>20</v>
      </c>
      <c r="C25" s="31" t="s">
        <v>173</v>
      </c>
      <c r="D25" s="31" t="s">
        <v>235</v>
      </c>
      <c r="E25" s="31" t="s">
        <v>25</v>
      </c>
      <c r="F25" s="30">
        <v>2.0</v>
      </c>
      <c r="G25" s="30">
        <v>0.0</v>
      </c>
      <c r="H25" s="30">
        <f t="shared" si="1"/>
        <v>2</v>
      </c>
      <c r="I25" s="31" t="s">
        <v>125</v>
      </c>
      <c r="J25" s="31" t="s">
        <v>139</v>
      </c>
    </row>
    <row r="26" ht="37.5" customHeight="1">
      <c r="A26" s="19" t="s">
        <v>238</v>
      </c>
      <c r="B26" s="19" t="s">
        <v>20</v>
      </c>
      <c r="C26" s="19" t="s">
        <v>239</v>
      </c>
      <c r="D26" s="19" t="s">
        <v>240</v>
      </c>
      <c r="E26" s="19" t="s">
        <v>31</v>
      </c>
      <c r="F26" s="16">
        <v>3.0</v>
      </c>
      <c r="G26" s="16">
        <v>0.0</v>
      </c>
      <c r="H26" s="16">
        <f t="shared" si="1"/>
        <v>3</v>
      </c>
      <c r="I26" s="19" t="s">
        <v>107</v>
      </c>
      <c r="J26" s="19" t="s">
        <v>109</v>
      </c>
    </row>
    <row r="27" ht="37.5" customHeight="1">
      <c r="A27" s="31" t="s">
        <v>242</v>
      </c>
      <c r="B27" s="31" t="s">
        <v>20</v>
      </c>
      <c r="C27" s="31" t="s">
        <v>113</v>
      </c>
      <c r="D27" s="31" t="s">
        <v>244</v>
      </c>
      <c r="E27" s="31" t="s">
        <v>31</v>
      </c>
      <c r="F27" s="30">
        <v>5.0</v>
      </c>
      <c r="G27" s="30">
        <v>0.0</v>
      </c>
      <c r="H27" s="30">
        <f t="shared" si="1"/>
        <v>5</v>
      </c>
      <c r="I27" s="31" t="s">
        <v>125</v>
      </c>
      <c r="J27" s="31" t="s">
        <v>149</v>
      </c>
    </row>
    <row r="28" ht="37.5" customHeight="1">
      <c r="A28" s="19" t="s">
        <v>247</v>
      </c>
      <c r="B28" s="19" t="s">
        <v>20</v>
      </c>
      <c r="C28" s="19" t="s">
        <v>113</v>
      </c>
      <c r="D28" s="19" t="s">
        <v>248</v>
      </c>
      <c r="E28" s="19" t="s">
        <v>31</v>
      </c>
      <c r="F28" s="16">
        <v>5.0</v>
      </c>
      <c r="G28" s="16">
        <v>0.0</v>
      </c>
      <c r="H28" s="16">
        <f t="shared" si="1"/>
        <v>5</v>
      </c>
      <c r="I28" s="19" t="s">
        <v>125</v>
      </c>
      <c r="J28" s="19" t="s">
        <v>149</v>
      </c>
    </row>
    <row r="29" ht="37.5" customHeight="1">
      <c r="A29" s="31" t="s">
        <v>250</v>
      </c>
      <c r="B29" s="31" t="s">
        <v>20</v>
      </c>
      <c r="C29" s="31" t="s">
        <v>131</v>
      </c>
      <c r="D29" s="31" t="s">
        <v>252</v>
      </c>
      <c r="E29" s="31" t="s">
        <v>31</v>
      </c>
      <c r="F29" s="30">
        <v>4.0</v>
      </c>
      <c r="G29" s="30">
        <v>0.0</v>
      </c>
      <c r="H29" s="30">
        <f t="shared" si="1"/>
        <v>4</v>
      </c>
      <c r="I29" s="31" t="s">
        <v>125</v>
      </c>
      <c r="J29" s="31" t="s">
        <v>149</v>
      </c>
    </row>
    <row r="30" ht="37.5" customHeight="1">
      <c r="A30" s="19" t="s">
        <v>255</v>
      </c>
      <c r="B30" s="19" t="s">
        <v>20</v>
      </c>
      <c r="C30" s="19" t="s">
        <v>113</v>
      </c>
      <c r="D30" s="19" t="s">
        <v>256</v>
      </c>
      <c r="E30" s="19" t="s">
        <v>31</v>
      </c>
      <c r="F30" s="16">
        <v>6.0</v>
      </c>
      <c r="G30" s="16">
        <v>0.0</v>
      </c>
      <c r="H30" s="16">
        <f t="shared" si="1"/>
        <v>6</v>
      </c>
      <c r="I30" s="19" t="s">
        <v>125</v>
      </c>
      <c r="J30" s="19" t="s">
        <v>139</v>
      </c>
    </row>
    <row r="31" ht="51.0" customHeight="1">
      <c r="A31" s="31" t="s">
        <v>258</v>
      </c>
      <c r="B31" s="31" t="s">
        <v>20</v>
      </c>
      <c r="C31" s="31" t="s">
        <v>239</v>
      </c>
      <c r="D31" s="31" t="s">
        <v>260</v>
      </c>
      <c r="E31" s="31" t="s">
        <v>31</v>
      </c>
      <c r="F31" s="30">
        <v>4.0</v>
      </c>
      <c r="G31" s="30">
        <v>0.0</v>
      </c>
      <c r="H31" s="30">
        <f t="shared" si="1"/>
        <v>4</v>
      </c>
      <c r="I31" s="31" t="s">
        <v>125</v>
      </c>
      <c r="J31" s="31" t="s">
        <v>139</v>
      </c>
    </row>
    <row r="32" ht="37.5" customHeight="1">
      <c r="A32" s="19" t="s">
        <v>263</v>
      </c>
      <c r="B32" s="19" t="s">
        <v>20</v>
      </c>
      <c r="C32" s="19" t="s">
        <v>239</v>
      </c>
      <c r="D32" s="19" t="s">
        <v>264</v>
      </c>
      <c r="E32" s="19" t="s">
        <v>31</v>
      </c>
      <c r="F32" s="16">
        <v>6.0</v>
      </c>
      <c r="G32" s="16">
        <v>0.0</v>
      </c>
      <c r="H32" s="16">
        <f t="shared" si="1"/>
        <v>6</v>
      </c>
      <c r="I32" s="19" t="s">
        <v>125</v>
      </c>
      <c r="J32" s="19" t="s">
        <v>139</v>
      </c>
    </row>
    <row r="33" ht="37.5" customHeight="1">
      <c r="A33" s="31" t="s">
        <v>269</v>
      </c>
      <c r="B33" s="31" t="s">
        <v>20</v>
      </c>
      <c r="C33" s="31" t="s">
        <v>239</v>
      </c>
      <c r="D33" s="31" t="s">
        <v>270</v>
      </c>
      <c r="E33" s="31" t="s">
        <v>31</v>
      </c>
      <c r="F33" s="30">
        <v>2.0</v>
      </c>
      <c r="G33" s="30">
        <v>0.0</v>
      </c>
      <c r="H33" s="30">
        <f t="shared" si="1"/>
        <v>2</v>
      </c>
      <c r="I33" s="31" t="s">
        <v>125</v>
      </c>
      <c r="J33" s="31" t="s">
        <v>139</v>
      </c>
    </row>
    <row r="34" ht="37.5" customHeight="1">
      <c r="A34" s="19" t="s">
        <v>273</v>
      </c>
      <c r="B34" s="19" t="s">
        <v>20</v>
      </c>
      <c r="C34" s="19" t="s">
        <v>275</v>
      </c>
      <c r="D34" s="19" t="s">
        <v>277</v>
      </c>
      <c r="E34" s="19" t="s">
        <v>33</v>
      </c>
      <c r="F34" s="16">
        <v>2.0</v>
      </c>
      <c r="G34" s="16">
        <v>0.0</v>
      </c>
      <c r="H34" s="16">
        <f t="shared" si="1"/>
        <v>2</v>
      </c>
      <c r="I34" s="19" t="s">
        <v>107</v>
      </c>
      <c r="J34" s="19" t="s">
        <v>109</v>
      </c>
    </row>
    <row r="35" ht="37.5" customHeight="1">
      <c r="A35" s="31" t="s">
        <v>280</v>
      </c>
      <c r="B35" s="31" t="s">
        <v>20</v>
      </c>
      <c r="C35" s="31" t="s">
        <v>91</v>
      </c>
      <c r="D35" s="31" t="s">
        <v>282</v>
      </c>
      <c r="E35" s="31" t="s">
        <v>33</v>
      </c>
      <c r="F35" s="30">
        <v>5.0</v>
      </c>
      <c r="G35" s="30">
        <v>0.0</v>
      </c>
      <c r="H35" s="30">
        <f t="shared" si="1"/>
        <v>5</v>
      </c>
      <c r="I35" s="31" t="s">
        <v>125</v>
      </c>
      <c r="J35" s="31" t="s">
        <v>126</v>
      </c>
    </row>
    <row r="36" ht="37.5" customHeight="1">
      <c r="A36" s="19" t="s">
        <v>285</v>
      </c>
      <c r="B36" s="19" t="s">
        <v>20</v>
      </c>
      <c r="C36" s="19" t="s">
        <v>91</v>
      </c>
      <c r="D36" s="19" t="s">
        <v>286</v>
      </c>
      <c r="E36" s="19" t="s">
        <v>33</v>
      </c>
      <c r="F36" s="16">
        <v>5.0</v>
      </c>
      <c r="G36" s="16">
        <v>0.0</v>
      </c>
      <c r="H36" s="16">
        <f t="shared" si="1"/>
        <v>5</v>
      </c>
      <c r="I36" s="19" t="s">
        <v>125</v>
      </c>
      <c r="J36" s="19" t="s">
        <v>289</v>
      </c>
    </row>
    <row r="37" ht="37.5" customHeight="1">
      <c r="A37" s="31" t="s">
        <v>291</v>
      </c>
      <c r="B37" s="31" t="s">
        <v>20</v>
      </c>
      <c r="C37" s="31" t="s">
        <v>91</v>
      </c>
      <c r="D37" s="31" t="s">
        <v>292</v>
      </c>
      <c r="E37" s="31" t="s">
        <v>33</v>
      </c>
      <c r="F37" s="30">
        <v>4.0</v>
      </c>
      <c r="G37" s="30">
        <v>0.0</v>
      </c>
      <c r="H37" s="30">
        <f t="shared" si="1"/>
        <v>4</v>
      </c>
      <c r="I37" s="31" t="s">
        <v>125</v>
      </c>
      <c r="J37" s="31" t="s">
        <v>139</v>
      </c>
    </row>
    <row r="38" ht="37.5" customHeight="1">
      <c r="A38" s="19" t="s">
        <v>295</v>
      </c>
      <c r="B38" s="19" t="s">
        <v>20</v>
      </c>
      <c r="C38" s="19" t="s">
        <v>144</v>
      </c>
      <c r="D38" s="19" t="s">
        <v>296</v>
      </c>
      <c r="E38" s="19" t="s">
        <v>33</v>
      </c>
      <c r="F38" s="16">
        <v>4.0</v>
      </c>
      <c r="G38" s="16">
        <v>0.0</v>
      </c>
      <c r="H38" s="16">
        <f t="shared" si="1"/>
        <v>4</v>
      </c>
      <c r="I38" s="19" t="s">
        <v>125</v>
      </c>
      <c r="J38" s="19" t="s">
        <v>139</v>
      </c>
    </row>
    <row r="39" ht="37.5" customHeight="1">
      <c r="A39" s="31" t="s">
        <v>299</v>
      </c>
      <c r="B39" s="31" t="s">
        <v>20</v>
      </c>
      <c r="C39" s="31" t="s">
        <v>144</v>
      </c>
      <c r="D39" s="31" t="s">
        <v>300</v>
      </c>
      <c r="E39" s="31" t="s">
        <v>33</v>
      </c>
      <c r="F39" s="30">
        <v>3.0</v>
      </c>
      <c r="G39" s="30">
        <v>0.0</v>
      </c>
      <c r="H39" s="30">
        <f t="shared" si="1"/>
        <v>3</v>
      </c>
      <c r="I39" s="31" t="s">
        <v>125</v>
      </c>
      <c r="J39" s="31" t="s">
        <v>139</v>
      </c>
    </row>
    <row r="40" ht="37.5" customHeight="1">
      <c r="A40" s="19" t="s">
        <v>303</v>
      </c>
      <c r="B40" s="19" t="s">
        <v>20</v>
      </c>
      <c r="C40" s="19" t="s">
        <v>275</v>
      </c>
      <c r="D40" s="19" t="s">
        <v>304</v>
      </c>
      <c r="E40" s="19" t="s">
        <v>33</v>
      </c>
      <c r="F40" s="16">
        <v>4.0</v>
      </c>
      <c r="G40" s="16">
        <v>0.0</v>
      </c>
      <c r="H40" s="16">
        <f t="shared" si="1"/>
        <v>4</v>
      </c>
      <c r="I40" s="19" t="s">
        <v>125</v>
      </c>
      <c r="J40" s="19" t="s">
        <v>139</v>
      </c>
    </row>
    <row r="41" ht="37.5" customHeight="1">
      <c r="A41" s="31" t="s">
        <v>307</v>
      </c>
      <c r="B41" s="31" t="s">
        <v>20</v>
      </c>
      <c r="C41" s="31" t="s">
        <v>275</v>
      </c>
      <c r="D41" s="31" t="s">
        <v>308</v>
      </c>
      <c r="E41" s="31" t="s">
        <v>33</v>
      </c>
      <c r="F41" s="30">
        <v>7.0</v>
      </c>
      <c r="G41" s="30">
        <v>0.0</v>
      </c>
      <c r="H41" s="30">
        <f t="shared" si="1"/>
        <v>7</v>
      </c>
      <c r="I41" s="31" t="s">
        <v>125</v>
      </c>
      <c r="J41" s="31" t="s">
        <v>139</v>
      </c>
    </row>
    <row r="42" ht="37.5" customHeight="1">
      <c r="A42" s="19" t="s">
        <v>311</v>
      </c>
      <c r="B42" s="19" t="s">
        <v>20</v>
      </c>
      <c r="C42" s="19" t="s">
        <v>279</v>
      </c>
      <c r="D42" s="19" t="s">
        <v>312</v>
      </c>
      <c r="E42" s="19" t="s">
        <v>33</v>
      </c>
      <c r="F42" s="16">
        <v>4.0</v>
      </c>
      <c r="G42" s="16">
        <v>0.0</v>
      </c>
      <c r="H42" s="16">
        <f t="shared" si="1"/>
        <v>4</v>
      </c>
      <c r="I42" s="19" t="s">
        <v>125</v>
      </c>
      <c r="J42" s="19" t="s">
        <v>139</v>
      </c>
    </row>
    <row r="43" ht="37.5" customHeight="1">
      <c r="A43" s="31" t="s">
        <v>315</v>
      </c>
      <c r="B43" s="31" t="s">
        <v>20</v>
      </c>
      <c r="C43" s="31" t="s">
        <v>316</v>
      </c>
      <c r="D43" s="31" t="s">
        <v>318</v>
      </c>
      <c r="E43" s="31" t="s">
        <v>35</v>
      </c>
      <c r="F43" s="30">
        <v>3.0</v>
      </c>
      <c r="G43" s="30">
        <v>0.0</v>
      </c>
      <c r="H43" s="30">
        <f t="shared" si="1"/>
        <v>3</v>
      </c>
      <c r="I43" s="31" t="s">
        <v>107</v>
      </c>
      <c r="J43" s="31" t="s">
        <v>109</v>
      </c>
    </row>
    <row r="44" ht="37.5" customHeight="1">
      <c r="A44" s="19" t="s">
        <v>320</v>
      </c>
      <c r="B44" s="19" t="s">
        <v>20</v>
      </c>
      <c r="C44" s="19" t="s">
        <v>316</v>
      </c>
      <c r="D44" s="19" t="s">
        <v>321</v>
      </c>
      <c r="E44" s="19" t="s">
        <v>35</v>
      </c>
      <c r="F44" s="16">
        <v>1.0</v>
      </c>
      <c r="G44" s="16">
        <v>0.0</v>
      </c>
      <c r="H44" s="16">
        <f t="shared" si="1"/>
        <v>1</v>
      </c>
      <c r="I44" s="19" t="s">
        <v>125</v>
      </c>
      <c r="J44" s="19" t="s">
        <v>139</v>
      </c>
    </row>
    <row r="45" ht="37.5" customHeight="1">
      <c r="A45" s="31" t="s">
        <v>324</v>
      </c>
      <c r="B45" s="31" t="s">
        <v>20</v>
      </c>
      <c r="C45" s="31" t="s">
        <v>316</v>
      </c>
      <c r="D45" s="31" t="s">
        <v>326</v>
      </c>
      <c r="E45" s="31" t="s">
        <v>35</v>
      </c>
      <c r="F45" s="30">
        <v>3.0</v>
      </c>
      <c r="G45" s="30">
        <v>0.0</v>
      </c>
      <c r="H45" s="30">
        <f t="shared" si="1"/>
        <v>3</v>
      </c>
      <c r="I45" s="31" t="s">
        <v>125</v>
      </c>
      <c r="J45" s="31" t="s">
        <v>139</v>
      </c>
    </row>
    <row r="46" ht="37.5" customHeight="1">
      <c r="A46" s="19" t="s">
        <v>328</v>
      </c>
      <c r="B46" s="19" t="s">
        <v>20</v>
      </c>
      <c r="C46" s="19" t="s">
        <v>316</v>
      </c>
      <c r="D46" s="19" t="s">
        <v>329</v>
      </c>
      <c r="E46" s="19" t="s">
        <v>35</v>
      </c>
      <c r="F46" s="16">
        <v>6.0</v>
      </c>
      <c r="G46" s="16">
        <v>0.0</v>
      </c>
      <c r="H46" s="16">
        <f t="shared" si="1"/>
        <v>6</v>
      </c>
      <c r="I46" s="19" t="s">
        <v>125</v>
      </c>
      <c r="J46" s="19" t="s">
        <v>139</v>
      </c>
    </row>
    <row r="47" ht="37.5" customHeight="1">
      <c r="A47" s="31" t="s">
        <v>333</v>
      </c>
      <c r="B47" s="31" t="s">
        <v>20</v>
      </c>
      <c r="C47" s="31" t="s">
        <v>316</v>
      </c>
      <c r="D47" s="31" t="s">
        <v>335</v>
      </c>
      <c r="E47" s="31" t="s">
        <v>35</v>
      </c>
      <c r="F47" s="30">
        <v>6.0</v>
      </c>
      <c r="G47" s="30">
        <v>0.0</v>
      </c>
      <c r="H47" s="30">
        <f t="shared" si="1"/>
        <v>6</v>
      </c>
      <c r="I47" s="31" t="s">
        <v>125</v>
      </c>
      <c r="J47" s="31" t="s">
        <v>139</v>
      </c>
    </row>
    <row r="48" ht="37.5" customHeight="1">
      <c r="A48" s="19" t="s">
        <v>336</v>
      </c>
      <c r="B48" s="19" t="s">
        <v>20</v>
      </c>
      <c r="C48" s="19" t="s">
        <v>316</v>
      </c>
      <c r="D48" s="19" t="s">
        <v>338</v>
      </c>
      <c r="E48" s="19" t="s">
        <v>35</v>
      </c>
      <c r="F48" s="16">
        <v>6.0</v>
      </c>
      <c r="G48" s="16">
        <v>0.0</v>
      </c>
      <c r="H48" s="16">
        <f t="shared" si="1"/>
        <v>6</v>
      </c>
      <c r="I48" s="19" t="s">
        <v>125</v>
      </c>
      <c r="J48" s="19" t="s">
        <v>139</v>
      </c>
    </row>
    <row r="49" ht="37.5" customHeight="1">
      <c r="A49" s="31" t="s">
        <v>341</v>
      </c>
      <c r="B49" s="31" t="s">
        <v>20</v>
      </c>
      <c r="C49" s="31" t="s">
        <v>316</v>
      </c>
      <c r="D49" s="31" t="s">
        <v>342</v>
      </c>
      <c r="E49" s="31" t="s">
        <v>35</v>
      </c>
      <c r="F49" s="30">
        <v>5.0</v>
      </c>
      <c r="G49" s="30">
        <v>0.0</v>
      </c>
      <c r="H49" s="30">
        <f t="shared" si="1"/>
        <v>5</v>
      </c>
      <c r="I49" s="31" t="s">
        <v>125</v>
      </c>
      <c r="J49" s="31" t="s">
        <v>139</v>
      </c>
    </row>
    <row r="50" ht="37.5" customHeight="1">
      <c r="A50" s="19" t="s">
        <v>344</v>
      </c>
      <c r="B50" s="19" t="s">
        <v>20</v>
      </c>
      <c r="C50" s="19" t="s">
        <v>316</v>
      </c>
      <c r="D50" s="19" t="s">
        <v>345</v>
      </c>
      <c r="E50" s="19" t="s">
        <v>35</v>
      </c>
      <c r="F50" s="16">
        <v>1.0</v>
      </c>
      <c r="G50" s="16">
        <v>0.0</v>
      </c>
      <c r="H50" s="16">
        <f t="shared" si="1"/>
        <v>1</v>
      </c>
      <c r="I50" s="19" t="s">
        <v>125</v>
      </c>
      <c r="J50" s="19" t="s">
        <v>139</v>
      </c>
    </row>
    <row r="51" ht="37.5" customHeight="1">
      <c r="A51" s="31" t="s">
        <v>348</v>
      </c>
      <c r="B51" s="31" t="s">
        <v>20</v>
      </c>
      <c r="C51" s="31" t="s">
        <v>134</v>
      </c>
      <c r="D51" s="31" t="s">
        <v>350</v>
      </c>
      <c r="E51" s="31" t="s">
        <v>35</v>
      </c>
      <c r="F51" s="30">
        <v>4.0</v>
      </c>
      <c r="G51" s="30">
        <v>0.0</v>
      </c>
      <c r="H51" s="30">
        <f t="shared" si="1"/>
        <v>4</v>
      </c>
      <c r="I51" s="31" t="s">
        <v>125</v>
      </c>
      <c r="J51" s="31" t="s">
        <v>139</v>
      </c>
    </row>
    <row r="52" ht="37.5" customHeight="1">
      <c r="A52" s="19" t="s">
        <v>352</v>
      </c>
      <c r="B52" s="19" t="s">
        <v>20</v>
      </c>
      <c r="C52" s="19" t="s">
        <v>134</v>
      </c>
      <c r="D52" s="19" t="s">
        <v>353</v>
      </c>
      <c r="E52" s="19" t="s">
        <v>35</v>
      </c>
      <c r="F52" s="16">
        <v>3.0</v>
      </c>
      <c r="G52" s="16">
        <v>0.0</v>
      </c>
      <c r="H52" s="16">
        <f t="shared" si="1"/>
        <v>3</v>
      </c>
      <c r="I52" s="19" t="s">
        <v>125</v>
      </c>
      <c r="J52" s="19" t="s">
        <v>139</v>
      </c>
    </row>
    <row r="53" ht="37.5" customHeight="1">
      <c r="A53" s="31" t="s">
        <v>357</v>
      </c>
      <c r="B53" s="31" t="s">
        <v>20</v>
      </c>
      <c r="C53" s="31" t="s">
        <v>358</v>
      </c>
      <c r="D53" s="31" t="s">
        <v>359</v>
      </c>
      <c r="E53" s="31" t="s">
        <v>37</v>
      </c>
      <c r="F53" s="30">
        <v>3.0</v>
      </c>
      <c r="G53" s="30">
        <v>0.0</v>
      </c>
      <c r="H53" s="30">
        <f t="shared" si="1"/>
        <v>3</v>
      </c>
      <c r="I53" s="31" t="s">
        <v>107</v>
      </c>
      <c r="J53" s="31" t="s">
        <v>109</v>
      </c>
    </row>
    <row r="54" ht="51.0" customHeight="1">
      <c r="A54" s="19" t="s">
        <v>363</v>
      </c>
      <c r="B54" s="19" t="s">
        <v>20</v>
      </c>
      <c r="C54" s="19" t="s">
        <v>91</v>
      </c>
      <c r="D54" s="19" t="s">
        <v>365</v>
      </c>
      <c r="E54" s="19" t="s">
        <v>37</v>
      </c>
      <c r="F54" s="16">
        <v>5.0</v>
      </c>
      <c r="G54" s="16">
        <v>0.0</v>
      </c>
      <c r="H54" s="16">
        <f t="shared" si="1"/>
        <v>5</v>
      </c>
      <c r="I54" s="19" t="s">
        <v>125</v>
      </c>
      <c r="J54" s="19" t="s">
        <v>126</v>
      </c>
    </row>
    <row r="55" ht="37.5" customHeight="1">
      <c r="A55" s="31" t="s">
        <v>367</v>
      </c>
      <c r="B55" s="31" t="s">
        <v>20</v>
      </c>
      <c r="C55" s="31" t="s">
        <v>91</v>
      </c>
      <c r="D55" s="31" t="s">
        <v>369</v>
      </c>
      <c r="E55" s="31" t="s">
        <v>37</v>
      </c>
      <c r="F55" s="30">
        <v>3.0</v>
      </c>
      <c r="G55" s="30">
        <v>0.0</v>
      </c>
      <c r="H55" s="30">
        <f t="shared" si="1"/>
        <v>3</v>
      </c>
      <c r="I55" s="31" t="s">
        <v>125</v>
      </c>
      <c r="J55" s="31" t="s">
        <v>126</v>
      </c>
    </row>
    <row r="56" ht="37.5" customHeight="1">
      <c r="A56" s="19" t="s">
        <v>372</v>
      </c>
      <c r="B56" s="19" t="s">
        <v>20</v>
      </c>
      <c r="C56" s="19" t="s">
        <v>279</v>
      </c>
      <c r="D56" s="19" t="s">
        <v>374</v>
      </c>
      <c r="E56" s="19" t="s">
        <v>37</v>
      </c>
      <c r="F56" s="16">
        <v>3.0</v>
      </c>
      <c r="G56" s="16">
        <v>0.0</v>
      </c>
      <c r="H56" s="16">
        <f t="shared" si="1"/>
        <v>3</v>
      </c>
      <c r="I56" s="19" t="s">
        <v>125</v>
      </c>
      <c r="J56" s="19" t="s">
        <v>139</v>
      </c>
    </row>
    <row r="57" ht="37.5" customHeight="1">
      <c r="A57" s="31" t="s">
        <v>376</v>
      </c>
      <c r="B57" s="31" t="s">
        <v>20</v>
      </c>
      <c r="C57" s="31" t="s">
        <v>279</v>
      </c>
      <c r="D57" s="31" t="s">
        <v>378</v>
      </c>
      <c r="E57" s="31" t="s">
        <v>37</v>
      </c>
      <c r="F57" s="30">
        <v>3.0</v>
      </c>
      <c r="G57" s="30">
        <v>0.0</v>
      </c>
      <c r="H57" s="30">
        <f t="shared" si="1"/>
        <v>3</v>
      </c>
      <c r="I57" s="31" t="s">
        <v>125</v>
      </c>
      <c r="J57" s="31" t="s">
        <v>139</v>
      </c>
    </row>
    <row r="58" ht="37.5" customHeight="1">
      <c r="A58" s="19" t="s">
        <v>383</v>
      </c>
      <c r="B58" s="19" t="s">
        <v>20</v>
      </c>
      <c r="C58" s="19" t="s">
        <v>279</v>
      </c>
      <c r="D58" s="19" t="s">
        <v>386</v>
      </c>
      <c r="E58" s="19" t="s">
        <v>37</v>
      </c>
      <c r="F58" s="16">
        <v>5.0</v>
      </c>
      <c r="G58" s="16">
        <v>0.0</v>
      </c>
      <c r="H58" s="16">
        <f t="shared" si="1"/>
        <v>5</v>
      </c>
      <c r="I58" s="19" t="s">
        <v>125</v>
      </c>
      <c r="J58" s="19" t="s">
        <v>139</v>
      </c>
    </row>
    <row r="59" ht="37.5" customHeight="1">
      <c r="A59" s="31" t="s">
        <v>389</v>
      </c>
      <c r="B59" s="31" t="s">
        <v>20</v>
      </c>
      <c r="C59" s="31" t="s">
        <v>390</v>
      </c>
      <c r="D59" s="31" t="s">
        <v>391</v>
      </c>
      <c r="E59" s="31" t="s">
        <v>37</v>
      </c>
      <c r="F59" s="30">
        <v>5.0</v>
      </c>
      <c r="G59" s="30">
        <v>0.0</v>
      </c>
      <c r="H59" s="30">
        <f t="shared" si="1"/>
        <v>5</v>
      </c>
      <c r="I59" s="31" t="s">
        <v>125</v>
      </c>
      <c r="J59" s="31" t="s">
        <v>139</v>
      </c>
    </row>
    <row r="60" ht="51.0" customHeight="1">
      <c r="A60" s="19" t="s">
        <v>393</v>
      </c>
      <c r="B60" s="19" t="s">
        <v>20</v>
      </c>
      <c r="C60" s="19" t="s">
        <v>390</v>
      </c>
      <c r="D60" s="19" t="s">
        <v>395</v>
      </c>
      <c r="E60" s="19" t="s">
        <v>37</v>
      </c>
      <c r="F60" s="16">
        <v>7.0</v>
      </c>
      <c r="G60" s="16">
        <v>0.0</v>
      </c>
      <c r="H60" s="16">
        <f t="shared" si="1"/>
        <v>7</v>
      </c>
      <c r="I60" s="19" t="s">
        <v>125</v>
      </c>
      <c r="J60" s="19" t="s">
        <v>139</v>
      </c>
    </row>
    <row r="61" ht="37.5" customHeight="1">
      <c r="A61" s="31" t="s">
        <v>398</v>
      </c>
      <c r="B61" s="31" t="s">
        <v>20</v>
      </c>
      <c r="C61" s="31" t="s">
        <v>390</v>
      </c>
      <c r="D61" s="31" t="s">
        <v>399</v>
      </c>
      <c r="E61" s="31" t="s">
        <v>37</v>
      </c>
      <c r="F61" s="30">
        <v>2.0</v>
      </c>
      <c r="G61" s="30">
        <v>0.0</v>
      </c>
      <c r="H61" s="30">
        <f t="shared" si="1"/>
        <v>2</v>
      </c>
      <c r="I61" s="31" t="s">
        <v>125</v>
      </c>
      <c r="J61" s="31" t="s">
        <v>139</v>
      </c>
    </row>
    <row r="62" ht="37.5" customHeight="1">
      <c r="A62" s="19" t="s">
        <v>402</v>
      </c>
      <c r="B62" s="19" t="s">
        <v>20</v>
      </c>
      <c r="C62" s="19" t="s">
        <v>390</v>
      </c>
      <c r="D62" s="19" t="s">
        <v>405</v>
      </c>
      <c r="E62" s="19" t="s">
        <v>37</v>
      </c>
      <c r="F62" s="16">
        <v>2.0</v>
      </c>
      <c r="G62" s="16">
        <v>0.0</v>
      </c>
      <c r="H62" s="16">
        <f t="shared" si="1"/>
        <v>2</v>
      </c>
      <c r="I62" s="19" t="s">
        <v>125</v>
      </c>
      <c r="J62" s="19" t="s">
        <v>139</v>
      </c>
    </row>
    <row r="63" ht="37.5" customHeight="1">
      <c r="A63" s="31" t="s">
        <v>408</v>
      </c>
      <c r="B63" s="31" t="s">
        <v>20</v>
      </c>
      <c r="C63" s="31" t="s">
        <v>410</v>
      </c>
      <c r="D63" s="31" t="s">
        <v>412</v>
      </c>
      <c r="E63" s="31" t="s">
        <v>39</v>
      </c>
      <c r="F63" s="30">
        <v>3.0</v>
      </c>
      <c r="G63" s="30">
        <v>0.0</v>
      </c>
      <c r="H63" s="30">
        <f t="shared" si="1"/>
        <v>3</v>
      </c>
      <c r="I63" s="31" t="s">
        <v>107</v>
      </c>
      <c r="J63" s="31" t="s">
        <v>109</v>
      </c>
    </row>
    <row r="64" ht="37.5" customHeight="1">
      <c r="A64" s="19" t="s">
        <v>414</v>
      </c>
      <c r="B64" s="19" t="s">
        <v>20</v>
      </c>
      <c r="C64" s="19" t="s">
        <v>416</v>
      </c>
      <c r="D64" s="19" t="s">
        <v>418</v>
      </c>
      <c r="E64" s="19" t="s">
        <v>39</v>
      </c>
      <c r="F64" s="16">
        <v>1.0</v>
      </c>
      <c r="G64" s="16">
        <v>0.0</v>
      </c>
      <c r="H64" s="16">
        <f t="shared" si="1"/>
        <v>1</v>
      </c>
      <c r="I64" s="19" t="s">
        <v>125</v>
      </c>
      <c r="J64" s="19" t="s">
        <v>139</v>
      </c>
    </row>
    <row r="65" ht="37.5" customHeight="1">
      <c r="A65" s="31" t="s">
        <v>422</v>
      </c>
      <c r="B65" s="31" t="s">
        <v>20</v>
      </c>
      <c r="C65" s="31" t="s">
        <v>416</v>
      </c>
      <c r="D65" s="31" t="s">
        <v>423</v>
      </c>
      <c r="E65" s="31" t="s">
        <v>39</v>
      </c>
      <c r="F65" s="30">
        <v>3.0</v>
      </c>
      <c r="G65" s="30">
        <v>0.0</v>
      </c>
      <c r="H65" s="30">
        <f t="shared" si="1"/>
        <v>3</v>
      </c>
      <c r="I65" s="31" t="s">
        <v>125</v>
      </c>
      <c r="J65" s="31" t="s">
        <v>139</v>
      </c>
    </row>
    <row r="66" ht="37.5" customHeight="1">
      <c r="A66" s="19" t="s">
        <v>428</v>
      </c>
      <c r="B66" s="19" t="s">
        <v>20</v>
      </c>
      <c r="C66" s="19" t="s">
        <v>416</v>
      </c>
      <c r="D66" s="19" t="s">
        <v>430</v>
      </c>
      <c r="E66" s="19" t="s">
        <v>39</v>
      </c>
      <c r="F66" s="16">
        <v>7.0</v>
      </c>
      <c r="G66" s="16">
        <v>0.0</v>
      </c>
      <c r="H66" s="16">
        <f t="shared" si="1"/>
        <v>7</v>
      </c>
      <c r="I66" s="19" t="s">
        <v>125</v>
      </c>
      <c r="J66" s="19" t="s">
        <v>139</v>
      </c>
    </row>
    <row r="67" ht="37.5" customHeight="1">
      <c r="A67" s="31" t="s">
        <v>431</v>
      </c>
      <c r="B67" s="31" t="s">
        <v>20</v>
      </c>
      <c r="C67" s="31" t="s">
        <v>416</v>
      </c>
      <c r="D67" s="31" t="s">
        <v>433</v>
      </c>
      <c r="E67" s="31" t="s">
        <v>39</v>
      </c>
      <c r="F67" s="30">
        <v>4.0</v>
      </c>
      <c r="G67" s="30">
        <v>0.0</v>
      </c>
      <c r="H67" s="30">
        <f t="shared" si="1"/>
        <v>4</v>
      </c>
      <c r="I67" s="31" t="s">
        <v>125</v>
      </c>
      <c r="J67" s="31" t="s">
        <v>139</v>
      </c>
    </row>
    <row r="68" ht="37.5" customHeight="1">
      <c r="A68" s="19" t="s">
        <v>436</v>
      </c>
      <c r="B68" s="19" t="s">
        <v>20</v>
      </c>
      <c r="C68" s="19" t="s">
        <v>416</v>
      </c>
      <c r="D68" s="19" t="s">
        <v>438</v>
      </c>
      <c r="E68" s="19" t="s">
        <v>39</v>
      </c>
      <c r="F68" s="16">
        <v>5.0</v>
      </c>
      <c r="G68" s="16">
        <v>0.0</v>
      </c>
      <c r="H68" s="16">
        <f t="shared" si="1"/>
        <v>5</v>
      </c>
      <c r="I68" s="19" t="s">
        <v>125</v>
      </c>
      <c r="J68" s="19" t="s">
        <v>139</v>
      </c>
    </row>
    <row r="69" ht="37.5" customHeight="1">
      <c r="A69" s="31" t="s">
        <v>439</v>
      </c>
      <c r="B69" s="31" t="s">
        <v>20</v>
      </c>
      <c r="C69" s="31" t="s">
        <v>416</v>
      </c>
      <c r="D69" s="31" t="s">
        <v>440</v>
      </c>
      <c r="E69" s="31" t="s">
        <v>39</v>
      </c>
      <c r="F69" s="30">
        <v>6.0</v>
      </c>
      <c r="G69" s="30">
        <v>0.0</v>
      </c>
      <c r="H69" s="30">
        <f t="shared" si="1"/>
        <v>6</v>
      </c>
      <c r="I69" s="31" t="s">
        <v>125</v>
      </c>
      <c r="J69" s="31" t="s">
        <v>139</v>
      </c>
    </row>
    <row r="70" ht="37.5" customHeight="1">
      <c r="A70" s="19" t="s">
        <v>443</v>
      </c>
      <c r="B70" s="19" t="s">
        <v>20</v>
      </c>
      <c r="C70" s="19" t="s">
        <v>157</v>
      </c>
      <c r="D70" s="19" t="s">
        <v>446</v>
      </c>
      <c r="E70" s="19" t="s">
        <v>39</v>
      </c>
      <c r="F70" s="16">
        <v>4.0</v>
      </c>
      <c r="G70" s="16">
        <v>0.0</v>
      </c>
      <c r="H70" s="16">
        <f t="shared" si="1"/>
        <v>4</v>
      </c>
      <c r="I70" s="19" t="s">
        <v>125</v>
      </c>
      <c r="J70" s="19" t="s">
        <v>139</v>
      </c>
    </row>
    <row r="71" ht="37.5" customHeight="1">
      <c r="A71" s="31" t="s">
        <v>447</v>
      </c>
      <c r="B71" s="31" t="s">
        <v>20</v>
      </c>
      <c r="C71" s="31" t="s">
        <v>157</v>
      </c>
      <c r="D71" s="31" t="s">
        <v>448</v>
      </c>
      <c r="E71" s="31" t="s">
        <v>39</v>
      </c>
      <c r="F71" s="30">
        <v>3.0</v>
      </c>
      <c r="G71" s="30">
        <v>0.0</v>
      </c>
      <c r="H71" s="30">
        <f t="shared" si="1"/>
        <v>3</v>
      </c>
      <c r="I71" s="31" t="s">
        <v>125</v>
      </c>
      <c r="J71" s="31" t="s">
        <v>139</v>
      </c>
    </row>
    <row r="72" ht="37.5" customHeight="1">
      <c r="A72" s="19" t="s">
        <v>457</v>
      </c>
      <c r="B72" s="19" t="s">
        <v>20</v>
      </c>
      <c r="C72" s="19" t="s">
        <v>157</v>
      </c>
      <c r="D72" s="19" t="s">
        <v>458</v>
      </c>
      <c r="E72" s="19" t="s">
        <v>39</v>
      </c>
      <c r="F72" s="16">
        <v>2.0</v>
      </c>
      <c r="G72" s="16">
        <v>0.0</v>
      </c>
      <c r="H72" s="16">
        <f t="shared" si="1"/>
        <v>2</v>
      </c>
      <c r="I72" s="19" t="s">
        <v>125</v>
      </c>
      <c r="J72" s="19" t="s">
        <v>139</v>
      </c>
    </row>
    <row r="73" ht="37.5" customHeight="1">
      <c r="A73" s="31" t="s">
        <v>461</v>
      </c>
      <c r="B73" s="31" t="s">
        <v>49</v>
      </c>
      <c r="C73" s="31" t="s">
        <v>464</v>
      </c>
      <c r="D73" s="31" t="s">
        <v>465</v>
      </c>
      <c r="E73" s="31" t="s">
        <v>29</v>
      </c>
      <c r="F73" s="30">
        <v>2.0</v>
      </c>
      <c r="G73" s="30">
        <v>0.0</v>
      </c>
      <c r="H73" s="30">
        <f t="shared" si="1"/>
        <v>2</v>
      </c>
      <c r="I73" s="31" t="s">
        <v>125</v>
      </c>
      <c r="J73" s="31"/>
    </row>
    <row r="74" ht="37.5" customHeight="1">
      <c r="A74" s="19" t="s">
        <v>468</v>
      </c>
      <c r="B74" s="19" t="s">
        <v>49</v>
      </c>
      <c r="C74" s="19" t="s">
        <v>464</v>
      </c>
      <c r="D74" s="19" t="s">
        <v>471</v>
      </c>
      <c r="E74" s="19" t="s">
        <v>29</v>
      </c>
      <c r="F74" s="16">
        <v>2.0</v>
      </c>
      <c r="G74" s="16">
        <v>0.0</v>
      </c>
      <c r="H74" s="16">
        <f t="shared" si="1"/>
        <v>2</v>
      </c>
      <c r="I74" s="19" t="s">
        <v>125</v>
      </c>
      <c r="J74" s="19"/>
    </row>
    <row r="75" ht="37.5" customHeight="1">
      <c r="A75" s="31" t="s">
        <v>475</v>
      </c>
      <c r="B75" s="31" t="s">
        <v>49</v>
      </c>
      <c r="C75" s="31" t="s">
        <v>464</v>
      </c>
      <c r="D75" s="31" t="s">
        <v>477</v>
      </c>
      <c r="E75" s="31" t="s">
        <v>29</v>
      </c>
      <c r="F75" s="30">
        <v>6.0</v>
      </c>
      <c r="G75" s="30">
        <v>0.0</v>
      </c>
      <c r="H75" s="30">
        <f t="shared" si="1"/>
        <v>6</v>
      </c>
      <c r="I75" s="31" t="s">
        <v>125</v>
      </c>
      <c r="J75" s="31"/>
    </row>
    <row r="76" ht="37.5" customHeight="1">
      <c r="A76" s="19" t="s">
        <v>480</v>
      </c>
      <c r="B76" s="19" t="s">
        <v>49</v>
      </c>
      <c r="C76" s="19" t="s">
        <v>464</v>
      </c>
      <c r="D76" s="19" t="s">
        <v>482</v>
      </c>
      <c r="E76" s="19" t="s">
        <v>29</v>
      </c>
      <c r="F76" s="16">
        <v>4.0</v>
      </c>
      <c r="G76" s="16">
        <v>0.0</v>
      </c>
      <c r="H76" s="16">
        <f t="shared" si="1"/>
        <v>4</v>
      </c>
      <c r="I76" s="19" t="s">
        <v>125</v>
      </c>
      <c r="J76" s="19"/>
    </row>
    <row r="77" ht="37.5" customHeight="1">
      <c r="A77" s="31" t="s">
        <v>485</v>
      </c>
      <c r="B77" s="31" t="s">
        <v>49</v>
      </c>
      <c r="C77" s="31" t="s">
        <v>486</v>
      </c>
      <c r="D77" s="31" t="s">
        <v>487</v>
      </c>
      <c r="E77" s="31" t="s">
        <v>29</v>
      </c>
      <c r="F77" s="30">
        <v>4.0</v>
      </c>
      <c r="G77" s="30">
        <v>0.0</v>
      </c>
      <c r="H77" s="30">
        <f t="shared" si="1"/>
        <v>4</v>
      </c>
      <c r="I77" s="31" t="s">
        <v>125</v>
      </c>
      <c r="J77" s="31"/>
    </row>
    <row r="78" ht="37.5" customHeight="1">
      <c r="A78" s="19" t="s">
        <v>491</v>
      </c>
      <c r="B78" s="19" t="s">
        <v>49</v>
      </c>
      <c r="C78" s="19" t="s">
        <v>492</v>
      </c>
      <c r="D78" s="19" t="s">
        <v>493</v>
      </c>
      <c r="E78" s="19" t="s">
        <v>29</v>
      </c>
      <c r="F78" s="16">
        <v>2.0</v>
      </c>
      <c r="G78" s="16">
        <v>0.0</v>
      </c>
      <c r="H78" s="16">
        <f t="shared" si="1"/>
        <v>2</v>
      </c>
      <c r="I78" s="19" t="s">
        <v>125</v>
      </c>
      <c r="J78" s="19"/>
    </row>
    <row r="79" ht="37.5" customHeight="1">
      <c r="A79" s="31" t="s">
        <v>494</v>
      </c>
      <c r="B79" s="31" t="s">
        <v>49</v>
      </c>
      <c r="C79" s="31" t="s">
        <v>496</v>
      </c>
      <c r="D79" s="31" t="s">
        <v>497</v>
      </c>
      <c r="E79" s="31" t="s">
        <v>29</v>
      </c>
      <c r="F79" s="30">
        <v>3.0</v>
      </c>
      <c r="G79" s="30">
        <v>0.0</v>
      </c>
      <c r="H79" s="30">
        <f t="shared" si="1"/>
        <v>3</v>
      </c>
      <c r="I79" s="31" t="s">
        <v>125</v>
      </c>
      <c r="J79" s="31"/>
    </row>
    <row r="80" ht="37.5" customHeight="1">
      <c r="A80" s="19" t="s">
        <v>499</v>
      </c>
      <c r="B80" s="19" t="s">
        <v>49</v>
      </c>
      <c r="C80" s="19" t="s">
        <v>501</v>
      </c>
      <c r="D80" s="19" t="s">
        <v>502</v>
      </c>
      <c r="E80" s="19" t="s">
        <v>29</v>
      </c>
      <c r="F80" s="16">
        <v>2.0</v>
      </c>
      <c r="G80" s="16">
        <v>0.0</v>
      </c>
      <c r="H80" s="16">
        <f t="shared" si="1"/>
        <v>2</v>
      </c>
      <c r="I80" s="19" t="s">
        <v>125</v>
      </c>
      <c r="J80" s="19"/>
    </row>
    <row r="81" ht="37.5" customHeight="1">
      <c r="A81" s="31" t="s">
        <v>503</v>
      </c>
      <c r="B81" s="31" t="s">
        <v>49</v>
      </c>
      <c r="C81" s="31" t="s">
        <v>505</v>
      </c>
      <c r="D81" s="31" t="s">
        <v>506</v>
      </c>
      <c r="E81" s="31" t="s">
        <v>29</v>
      </c>
      <c r="F81" s="30">
        <v>2.0</v>
      </c>
      <c r="G81" s="30">
        <v>0.0</v>
      </c>
      <c r="H81" s="30">
        <f t="shared" si="1"/>
        <v>2</v>
      </c>
      <c r="I81" s="31" t="s">
        <v>125</v>
      </c>
      <c r="J81" s="31"/>
    </row>
    <row r="82" ht="37.5" customHeight="1">
      <c r="A82" s="19" t="s">
        <v>510</v>
      </c>
      <c r="B82" s="19" t="s">
        <v>49</v>
      </c>
      <c r="C82" s="19" t="s">
        <v>512</v>
      </c>
      <c r="D82" s="19" t="s">
        <v>513</v>
      </c>
      <c r="E82" s="19" t="s">
        <v>29</v>
      </c>
      <c r="F82" s="16">
        <v>2.0</v>
      </c>
      <c r="G82" s="16">
        <v>0.0</v>
      </c>
      <c r="H82" s="16">
        <f t="shared" si="1"/>
        <v>2</v>
      </c>
      <c r="I82" s="19" t="s">
        <v>125</v>
      </c>
      <c r="J82" s="19"/>
    </row>
    <row r="83" ht="37.5" customHeight="1">
      <c r="A83" s="31" t="s">
        <v>516</v>
      </c>
      <c r="B83" s="31" t="s">
        <v>49</v>
      </c>
      <c r="C83" s="31" t="s">
        <v>517</v>
      </c>
      <c r="D83" s="31" t="s">
        <v>518</v>
      </c>
      <c r="E83" s="31" t="s">
        <v>29</v>
      </c>
      <c r="F83" s="30">
        <v>2.0</v>
      </c>
      <c r="G83" s="30">
        <v>0.0</v>
      </c>
      <c r="H83" s="30">
        <f t="shared" si="1"/>
        <v>2</v>
      </c>
      <c r="I83" s="31" t="s">
        <v>125</v>
      </c>
      <c r="J83" s="31"/>
    </row>
    <row r="84" ht="37.5" customHeight="1">
      <c r="A84" s="19" t="s">
        <v>520</v>
      </c>
      <c r="B84" s="19" t="s">
        <v>49</v>
      </c>
      <c r="C84" s="19" t="s">
        <v>492</v>
      </c>
      <c r="D84" s="19" t="s">
        <v>522</v>
      </c>
      <c r="E84" s="19" t="s">
        <v>25</v>
      </c>
      <c r="F84" s="16">
        <v>6.0</v>
      </c>
      <c r="G84" s="16">
        <v>0.0</v>
      </c>
      <c r="H84" s="16">
        <f t="shared" si="1"/>
        <v>6</v>
      </c>
      <c r="I84" s="19" t="s">
        <v>125</v>
      </c>
      <c r="J84" s="19"/>
    </row>
    <row r="85" ht="37.5" customHeight="1">
      <c r="A85" s="31" t="s">
        <v>523</v>
      </c>
      <c r="B85" s="31" t="s">
        <v>49</v>
      </c>
      <c r="C85" s="31" t="s">
        <v>492</v>
      </c>
      <c r="D85" s="31" t="s">
        <v>525</v>
      </c>
      <c r="E85" s="31" t="s">
        <v>25</v>
      </c>
      <c r="F85" s="30">
        <v>5.0</v>
      </c>
      <c r="G85" s="30">
        <v>0.0</v>
      </c>
      <c r="H85" s="30">
        <f t="shared" si="1"/>
        <v>5</v>
      </c>
      <c r="I85" s="31" t="s">
        <v>125</v>
      </c>
      <c r="J85" s="31"/>
    </row>
    <row r="86" ht="37.5" customHeight="1">
      <c r="A86" s="19" t="s">
        <v>528</v>
      </c>
      <c r="B86" s="19" t="s">
        <v>49</v>
      </c>
      <c r="C86" s="19" t="s">
        <v>530</v>
      </c>
      <c r="D86" s="19" t="s">
        <v>531</v>
      </c>
      <c r="E86" s="19" t="s">
        <v>25</v>
      </c>
      <c r="F86" s="16">
        <v>4.0</v>
      </c>
      <c r="G86" s="16">
        <v>0.0</v>
      </c>
      <c r="H86" s="16">
        <f t="shared" si="1"/>
        <v>4</v>
      </c>
      <c r="I86" s="19" t="s">
        <v>125</v>
      </c>
      <c r="J86" s="19"/>
    </row>
    <row r="87" ht="37.5" customHeight="1">
      <c r="A87" s="31" t="s">
        <v>532</v>
      </c>
      <c r="B87" s="31" t="s">
        <v>49</v>
      </c>
      <c r="C87" s="31" t="s">
        <v>533</v>
      </c>
      <c r="D87" s="31" t="s">
        <v>535</v>
      </c>
      <c r="E87" s="31" t="s">
        <v>25</v>
      </c>
      <c r="F87" s="30">
        <v>3.0</v>
      </c>
      <c r="G87" s="30">
        <v>0.0</v>
      </c>
      <c r="H87" s="30">
        <f t="shared" si="1"/>
        <v>3</v>
      </c>
      <c r="I87" s="31" t="s">
        <v>125</v>
      </c>
      <c r="J87" s="31"/>
    </row>
    <row r="88" ht="37.5" customHeight="1">
      <c r="A88" s="19" t="s">
        <v>539</v>
      </c>
      <c r="B88" s="19" t="s">
        <v>49</v>
      </c>
      <c r="C88" s="19" t="s">
        <v>533</v>
      </c>
      <c r="D88" s="19" t="s">
        <v>540</v>
      </c>
      <c r="E88" s="19" t="s">
        <v>25</v>
      </c>
      <c r="F88" s="16">
        <v>4.0</v>
      </c>
      <c r="G88" s="16">
        <v>0.0</v>
      </c>
      <c r="H88" s="16">
        <f t="shared" si="1"/>
        <v>4</v>
      </c>
      <c r="I88" s="19" t="s">
        <v>125</v>
      </c>
      <c r="J88" s="19"/>
    </row>
    <row r="89" ht="37.5" customHeight="1">
      <c r="A89" s="31" t="s">
        <v>543</v>
      </c>
      <c r="B89" s="31" t="s">
        <v>49</v>
      </c>
      <c r="C89" s="31" t="s">
        <v>533</v>
      </c>
      <c r="D89" s="31" t="s">
        <v>545</v>
      </c>
      <c r="E89" s="31" t="s">
        <v>25</v>
      </c>
      <c r="F89" s="30">
        <v>6.0</v>
      </c>
      <c r="G89" s="30">
        <v>0.0</v>
      </c>
      <c r="H89" s="30">
        <f t="shared" si="1"/>
        <v>6</v>
      </c>
      <c r="I89" s="31" t="s">
        <v>125</v>
      </c>
      <c r="J89" s="31"/>
    </row>
    <row r="90" ht="37.5" customHeight="1">
      <c r="A90" s="19" t="s">
        <v>547</v>
      </c>
      <c r="B90" s="19" t="s">
        <v>49</v>
      </c>
      <c r="C90" s="19" t="s">
        <v>533</v>
      </c>
      <c r="D90" s="19" t="s">
        <v>548</v>
      </c>
      <c r="E90" s="19" t="s">
        <v>25</v>
      </c>
      <c r="F90" s="16">
        <v>5.0</v>
      </c>
      <c r="G90" s="16">
        <v>0.0</v>
      </c>
      <c r="H90" s="16">
        <f t="shared" si="1"/>
        <v>5</v>
      </c>
      <c r="I90" s="19" t="s">
        <v>125</v>
      </c>
      <c r="J90" s="19"/>
    </row>
    <row r="91" ht="37.5" customHeight="1">
      <c r="A91" s="31" t="s">
        <v>551</v>
      </c>
      <c r="B91" s="31" t="s">
        <v>49</v>
      </c>
      <c r="C91" s="31" t="s">
        <v>552</v>
      </c>
      <c r="D91" s="31" t="s">
        <v>554</v>
      </c>
      <c r="E91" s="31" t="s">
        <v>31</v>
      </c>
      <c r="F91" s="30">
        <v>2.0</v>
      </c>
      <c r="G91" s="30">
        <v>0.0</v>
      </c>
      <c r="H91" s="30">
        <f t="shared" si="1"/>
        <v>2</v>
      </c>
      <c r="I91" s="31" t="s">
        <v>125</v>
      </c>
      <c r="J91" s="31"/>
    </row>
    <row r="92" ht="37.5" customHeight="1">
      <c r="A92" s="19" t="s">
        <v>556</v>
      </c>
      <c r="B92" s="19" t="s">
        <v>49</v>
      </c>
      <c r="C92" s="19" t="s">
        <v>552</v>
      </c>
      <c r="D92" s="19" t="s">
        <v>557</v>
      </c>
      <c r="E92" s="19" t="s">
        <v>31</v>
      </c>
      <c r="F92" s="16">
        <v>3.0</v>
      </c>
      <c r="G92" s="16">
        <v>0.0</v>
      </c>
      <c r="H92" s="16">
        <f t="shared" si="1"/>
        <v>3</v>
      </c>
      <c r="I92" s="19" t="s">
        <v>125</v>
      </c>
      <c r="J92" s="19"/>
    </row>
    <row r="93" ht="37.5" customHeight="1">
      <c r="A93" s="31" t="s">
        <v>561</v>
      </c>
      <c r="B93" s="31" t="s">
        <v>49</v>
      </c>
      <c r="C93" s="31" t="s">
        <v>552</v>
      </c>
      <c r="D93" s="31" t="s">
        <v>563</v>
      </c>
      <c r="E93" s="31" t="s">
        <v>31</v>
      </c>
      <c r="F93" s="30">
        <v>6.0</v>
      </c>
      <c r="G93" s="30">
        <v>0.0</v>
      </c>
      <c r="H93" s="30">
        <f t="shared" si="1"/>
        <v>6</v>
      </c>
      <c r="I93" s="31" t="s">
        <v>125</v>
      </c>
      <c r="J93" s="31"/>
    </row>
    <row r="94" ht="37.5" customHeight="1">
      <c r="A94" s="19" t="s">
        <v>564</v>
      </c>
      <c r="B94" s="19" t="s">
        <v>49</v>
      </c>
      <c r="C94" s="19" t="s">
        <v>566</v>
      </c>
      <c r="D94" s="19" t="s">
        <v>567</v>
      </c>
      <c r="E94" s="19" t="s">
        <v>31</v>
      </c>
      <c r="F94" s="16">
        <v>4.0</v>
      </c>
      <c r="G94" s="16">
        <v>0.0</v>
      </c>
      <c r="H94" s="16">
        <f t="shared" si="1"/>
        <v>4</v>
      </c>
      <c r="I94" s="19" t="s">
        <v>125</v>
      </c>
      <c r="J94" s="19"/>
    </row>
    <row r="95" ht="37.5" customHeight="1">
      <c r="A95" s="31" t="s">
        <v>571</v>
      </c>
      <c r="B95" s="31" t="s">
        <v>49</v>
      </c>
      <c r="C95" s="31" t="s">
        <v>552</v>
      </c>
      <c r="D95" s="31" t="s">
        <v>572</v>
      </c>
      <c r="E95" s="31" t="s">
        <v>31</v>
      </c>
      <c r="F95" s="30">
        <v>6.0</v>
      </c>
      <c r="G95" s="30">
        <v>0.0</v>
      </c>
      <c r="H95" s="30">
        <f t="shared" si="1"/>
        <v>6</v>
      </c>
      <c r="I95" s="31" t="s">
        <v>125</v>
      </c>
      <c r="J95" s="31"/>
    </row>
    <row r="96" ht="37.5" customHeight="1">
      <c r="A96" s="19" t="s">
        <v>575</v>
      </c>
      <c r="B96" s="19" t="s">
        <v>49</v>
      </c>
      <c r="C96" s="19" t="s">
        <v>517</v>
      </c>
      <c r="D96" s="19" t="s">
        <v>577</v>
      </c>
      <c r="E96" s="19" t="s">
        <v>31</v>
      </c>
      <c r="F96" s="16">
        <v>6.0</v>
      </c>
      <c r="G96" s="16">
        <v>0.0</v>
      </c>
      <c r="H96" s="16">
        <f t="shared" si="1"/>
        <v>6</v>
      </c>
      <c r="I96" s="19" t="s">
        <v>125</v>
      </c>
      <c r="J96" s="19"/>
    </row>
    <row r="97" ht="37.5" customHeight="1">
      <c r="A97" s="31" t="s">
        <v>579</v>
      </c>
      <c r="B97" s="31" t="s">
        <v>49</v>
      </c>
      <c r="C97" s="31" t="s">
        <v>517</v>
      </c>
      <c r="D97" s="31" t="s">
        <v>580</v>
      </c>
      <c r="E97" s="31" t="s">
        <v>31</v>
      </c>
      <c r="F97" s="30">
        <v>5.0</v>
      </c>
      <c r="G97" s="30">
        <v>0.0</v>
      </c>
      <c r="H97" s="30">
        <f t="shared" si="1"/>
        <v>5</v>
      </c>
      <c r="I97" s="31" t="s">
        <v>125</v>
      </c>
      <c r="J97" s="31"/>
    </row>
    <row r="98" ht="37.5" customHeight="1">
      <c r="A98" s="19" t="s">
        <v>584</v>
      </c>
      <c r="B98" s="19" t="s">
        <v>49</v>
      </c>
      <c r="C98" s="19" t="s">
        <v>585</v>
      </c>
      <c r="D98" s="19" t="s">
        <v>587</v>
      </c>
      <c r="E98" s="19" t="s">
        <v>31</v>
      </c>
      <c r="F98" s="16">
        <v>3.0</v>
      </c>
      <c r="G98" s="16">
        <v>0.0</v>
      </c>
      <c r="H98" s="16">
        <f t="shared" si="1"/>
        <v>3</v>
      </c>
      <c r="I98" s="19" t="s">
        <v>125</v>
      </c>
      <c r="J98" s="19"/>
    </row>
    <row r="99" ht="37.5" customHeight="1">
      <c r="A99" s="31" t="s">
        <v>588</v>
      </c>
      <c r="B99" s="31" t="s">
        <v>49</v>
      </c>
      <c r="C99" s="31" t="s">
        <v>501</v>
      </c>
      <c r="D99" s="31" t="s">
        <v>590</v>
      </c>
      <c r="E99" s="51" t="s">
        <v>29</v>
      </c>
      <c r="F99" s="30">
        <v>2.0</v>
      </c>
      <c r="G99" s="30">
        <v>0.0</v>
      </c>
      <c r="H99" s="30">
        <f t="shared" si="1"/>
        <v>2</v>
      </c>
      <c r="I99" s="31" t="s">
        <v>125</v>
      </c>
      <c r="J99" s="31"/>
    </row>
    <row r="100" ht="37.5" customHeight="1">
      <c r="A100" s="19" t="s">
        <v>595</v>
      </c>
      <c r="B100" s="19" t="s">
        <v>49</v>
      </c>
      <c r="C100" s="19" t="s">
        <v>501</v>
      </c>
      <c r="D100" s="19" t="s">
        <v>597</v>
      </c>
      <c r="E100" s="19" t="s">
        <v>33</v>
      </c>
      <c r="F100" s="16">
        <v>4.0</v>
      </c>
      <c r="G100" s="16">
        <v>0.0</v>
      </c>
      <c r="H100" s="16">
        <f t="shared" si="1"/>
        <v>4</v>
      </c>
      <c r="I100" s="19" t="s">
        <v>125</v>
      </c>
      <c r="J100" s="19"/>
    </row>
    <row r="101" ht="37.5" customHeight="1">
      <c r="A101" s="31" t="s">
        <v>600</v>
      </c>
      <c r="B101" s="31" t="s">
        <v>49</v>
      </c>
      <c r="C101" s="31" t="s">
        <v>501</v>
      </c>
      <c r="D101" s="31" t="s">
        <v>601</v>
      </c>
      <c r="E101" s="31" t="s">
        <v>33</v>
      </c>
      <c r="F101" s="30">
        <v>4.0</v>
      </c>
      <c r="G101" s="30">
        <v>0.0</v>
      </c>
      <c r="H101" s="30">
        <f t="shared" si="1"/>
        <v>4</v>
      </c>
      <c r="I101" s="31" t="s">
        <v>125</v>
      </c>
      <c r="J101" s="31"/>
    </row>
    <row r="102" ht="37.5" customHeight="1">
      <c r="A102" s="19" t="s">
        <v>604</v>
      </c>
      <c r="B102" s="19" t="s">
        <v>49</v>
      </c>
      <c r="C102" s="19" t="s">
        <v>501</v>
      </c>
      <c r="D102" s="19" t="s">
        <v>606</v>
      </c>
      <c r="E102" s="19" t="s">
        <v>33</v>
      </c>
      <c r="F102" s="16">
        <v>6.0</v>
      </c>
      <c r="G102" s="16">
        <v>0.0</v>
      </c>
      <c r="H102" s="16">
        <f t="shared" si="1"/>
        <v>6</v>
      </c>
      <c r="I102" s="19" t="s">
        <v>125</v>
      </c>
      <c r="J102" s="19"/>
    </row>
    <row r="103" ht="37.5" customHeight="1">
      <c r="A103" s="31" t="s">
        <v>608</v>
      </c>
      <c r="B103" s="31" t="s">
        <v>49</v>
      </c>
      <c r="C103" s="31" t="s">
        <v>610</v>
      </c>
      <c r="D103" s="31" t="s">
        <v>611</v>
      </c>
      <c r="E103" s="31" t="s">
        <v>33</v>
      </c>
      <c r="F103" s="30">
        <v>5.0</v>
      </c>
      <c r="G103" s="30">
        <v>0.0</v>
      </c>
      <c r="H103" s="30">
        <f t="shared" si="1"/>
        <v>5</v>
      </c>
      <c r="I103" s="31" t="s">
        <v>125</v>
      </c>
      <c r="J103" s="31"/>
    </row>
    <row r="104" ht="37.5" customHeight="1">
      <c r="A104" s="19" t="s">
        <v>615</v>
      </c>
      <c r="B104" s="19" t="s">
        <v>49</v>
      </c>
      <c r="C104" s="19" t="s">
        <v>501</v>
      </c>
      <c r="D104" s="19" t="s">
        <v>616</v>
      </c>
      <c r="E104" s="19" t="s">
        <v>33</v>
      </c>
      <c r="F104" s="16">
        <v>2.0</v>
      </c>
      <c r="G104" s="16">
        <v>0.0</v>
      </c>
      <c r="H104" s="16">
        <f t="shared" si="1"/>
        <v>2</v>
      </c>
      <c r="I104" s="19" t="s">
        <v>125</v>
      </c>
      <c r="J104" s="19"/>
    </row>
    <row r="105" ht="37.5" customHeight="1">
      <c r="A105" s="31" t="s">
        <v>618</v>
      </c>
      <c r="B105" s="31" t="s">
        <v>49</v>
      </c>
      <c r="C105" s="31" t="s">
        <v>407</v>
      </c>
      <c r="D105" s="31" t="s">
        <v>620</v>
      </c>
      <c r="E105" s="31" t="s">
        <v>33</v>
      </c>
      <c r="F105" s="30">
        <v>5.0</v>
      </c>
      <c r="G105" s="30">
        <v>0.0</v>
      </c>
      <c r="H105" s="30">
        <f t="shared" si="1"/>
        <v>5</v>
      </c>
      <c r="I105" s="31" t="s">
        <v>125</v>
      </c>
      <c r="J105" s="31"/>
    </row>
    <row r="106" ht="37.5" customHeight="1">
      <c r="A106" s="19" t="s">
        <v>623</v>
      </c>
      <c r="B106" s="19" t="s">
        <v>49</v>
      </c>
      <c r="C106" s="19" t="s">
        <v>407</v>
      </c>
      <c r="D106" s="19" t="s">
        <v>624</v>
      </c>
      <c r="E106" s="19" t="s">
        <v>33</v>
      </c>
      <c r="F106" s="16">
        <v>5.0</v>
      </c>
      <c r="G106" s="16">
        <v>0.0</v>
      </c>
      <c r="H106" s="16">
        <f t="shared" si="1"/>
        <v>5</v>
      </c>
      <c r="I106" s="19" t="s">
        <v>125</v>
      </c>
      <c r="J106" s="19"/>
    </row>
    <row r="107" ht="37.5" customHeight="1">
      <c r="A107" s="31" t="s">
        <v>627</v>
      </c>
      <c r="B107" s="31" t="s">
        <v>49</v>
      </c>
      <c r="C107" s="31" t="s">
        <v>407</v>
      </c>
      <c r="D107" s="31" t="s">
        <v>628</v>
      </c>
      <c r="E107" s="31" t="s">
        <v>33</v>
      </c>
      <c r="F107" s="30">
        <v>2.0</v>
      </c>
      <c r="G107" s="30">
        <v>0.0</v>
      </c>
      <c r="H107" s="30">
        <f t="shared" si="1"/>
        <v>2</v>
      </c>
      <c r="I107" s="31" t="s">
        <v>125</v>
      </c>
      <c r="J107" s="31"/>
    </row>
    <row r="108" ht="37.5" customHeight="1">
      <c r="A108" s="19" t="s">
        <v>631</v>
      </c>
      <c r="B108" s="19" t="s">
        <v>49</v>
      </c>
      <c r="C108" s="19" t="s">
        <v>512</v>
      </c>
      <c r="D108" s="19" t="s">
        <v>632</v>
      </c>
      <c r="E108" s="19" t="s">
        <v>35</v>
      </c>
      <c r="F108" s="16">
        <v>1.0</v>
      </c>
      <c r="G108" s="16">
        <v>0.0</v>
      </c>
      <c r="H108" s="16">
        <f t="shared" si="1"/>
        <v>1</v>
      </c>
      <c r="I108" s="19" t="s">
        <v>125</v>
      </c>
      <c r="J108" s="19"/>
    </row>
    <row r="109" ht="37.5" customHeight="1">
      <c r="A109" s="31" t="s">
        <v>636</v>
      </c>
      <c r="B109" s="31" t="s">
        <v>49</v>
      </c>
      <c r="C109" s="31" t="s">
        <v>512</v>
      </c>
      <c r="D109" s="31" t="s">
        <v>637</v>
      </c>
      <c r="E109" s="31" t="s">
        <v>35</v>
      </c>
      <c r="F109" s="30">
        <v>4.0</v>
      </c>
      <c r="G109" s="30">
        <v>0.0</v>
      </c>
      <c r="H109" s="30">
        <f t="shared" si="1"/>
        <v>4</v>
      </c>
      <c r="I109" s="31" t="s">
        <v>125</v>
      </c>
      <c r="J109" s="31"/>
    </row>
    <row r="110" ht="37.5" customHeight="1">
      <c r="A110" s="19" t="s">
        <v>639</v>
      </c>
      <c r="B110" s="19" t="s">
        <v>49</v>
      </c>
      <c r="C110" s="19" t="s">
        <v>512</v>
      </c>
      <c r="D110" s="19" t="s">
        <v>641</v>
      </c>
      <c r="E110" s="19" t="s">
        <v>35</v>
      </c>
      <c r="F110" s="16">
        <v>6.0</v>
      </c>
      <c r="G110" s="16">
        <v>0.0</v>
      </c>
      <c r="H110" s="16">
        <f t="shared" si="1"/>
        <v>6</v>
      </c>
      <c r="I110" s="19" t="s">
        <v>125</v>
      </c>
      <c r="J110" s="19"/>
    </row>
    <row r="111" ht="37.5" customHeight="1">
      <c r="A111" s="31" t="s">
        <v>644</v>
      </c>
      <c r="B111" s="31" t="s">
        <v>49</v>
      </c>
      <c r="C111" s="31" t="s">
        <v>512</v>
      </c>
      <c r="D111" s="31" t="s">
        <v>646</v>
      </c>
      <c r="E111" s="31" t="s">
        <v>35</v>
      </c>
      <c r="F111" s="30">
        <v>4.0</v>
      </c>
      <c r="G111" s="30">
        <v>0.0</v>
      </c>
      <c r="H111" s="30">
        <f t="shared" si="1"/>
        <v>4</v>
      </c>
      <c r="I111" s="31" t="s">
        <v>125</v>
      </c>
      <c r="J111" s="31"/>
    </row>
    <row r="112" ht="37.5" customHeight="1">
      <c r="A112" s="19" t="s">
        <v>648</v>
      </c>
      <c r="B112" s="19" t="s">
        <v>49</v>
      </c>
      <c r="C112" s="19" t="s">
        <v>512</v>
      </c>
      <c r="D112" s="19" t="s">
        <v>649</v>
      </c>
      <c r="E112" s="19" t="s">
        <v>35</v>
      </c>
      <c r="F112" s="16">
        <v>3.0</v>
      </c>
      <c r="G112" s="16">
        <v>0.0</v>
      </c>
      <c r="H112" s="16">
        <f t="shared" si="1"/>
        <v>3</v>
      </c>
      <c r="I112" s="19" t="s">
        <v>125</v>
      </c>
      <c r="J112" s="19"/>
    </row>
    <row r="113" ht="37.5" customHeight="1">
      <c r="A113" s="31" t="s">
        <v>652</v>
      </c>
      <c r="B113" s="31" t="s">
        <v>49</v>
      </c>
      <c r="C113" s="31" t="s">
        <v>512</v>
      </c>
      <c r="D113" s="31" t="s">
        <v>654</v>
      </c>
      <c r="E113" s="31" t="s">
        <v>35</v>
      </c>
      <c r="F113" s="30">
        <v>7.0</v>
      </c>
      <c r="G113" s="30">
        <v>0.0</v>
      </c>
      <c r="H113" s="30">
        <f t="shared" si="1"/>
        <v>7</v>
      </c>
      <c r="I113" s="31" t="s">
        <v>125</v>
      </c>
      <c r="J113" s="31"/>
    </row>
    <row r="114" ht="37.5" customHeight="1">
      <c r="A114" s="19" t="s">
        <v>657</v>
      </c>
      <c r="B114" s="19" t="s">
        <v>49</v>
      </c>
      <c r="C114" s="19" t="s">
        <v>512</v>
      </c>
      <c r="D114" s="19" t="s">
        <v>658</v>
      </c>
      <c r="E114" s="19" t="s">
        <v>35</v>
      </c>
      <c r="F114" s="16">
        <v>1.0</v>
      </c>
      <c r="G114" s="16">
        <v>0.0</v>
      </c>
      <c r="H114" s="16">
        <f t="shared" si="1"/>
        <v>1</v>
      </c>
      <c r="I114" s="19" t="s">
        <v>125</v>
      </c>
      <c r="J114" s="19"/>
    </row>
    <row r="115" ht="37.5" customHeight="1">
      <c r="A115" s="31" t="s">
        <v>661</v>
      </c>
      <c r="B115" s="31" t="s">
        <v>49</v>
      </c>
      <c r="C115" s="31" t="s">
        <v>486</v>
      </c>
      <c r="D115" s="31" t="s">
        <v>662</v>
      </c>
      <c r="E115" s="31" t="s">
        <v>35</v>
      </c>
      <c r="F115" s="30">
        <v>5.0</v>
      </c>
      <c r="G115" s="30">
        <v>0.0</v>
      </c>
      <c r="H115" s="30">
        <f t="shared" si="1"/>
        <v>5</v>
      </c>
      <c r="I115" s="31" t="s">
        <v>125</v>
      </c>
      <c r="J115" s="31"/>
    </row>
    <row r="116" ht="37.5" customHeight="1">
      <c r="A116" s="19" t="s">
        <v>664</v>
      </c>
      <c r="B116" s="19" t="s">
        <v>49</v>
      </c>
      <c r="C116" s="19" t="s">
        <v>486</v>
      </c>
      <c r="D116" s="19" t="s">
        <v>666</v>
      </c>
      <c r="E116" s="19" t="s">
        <v>35</v>
      </c>
      <c r="F116" s="16">
        <v>2.0</v>
      </c>
      <c r="G116" s="16">
        <v>0.0</v>
      </c>
      <c r="H116" s="16">
        <f t="shared" si="1"/>
        <v>2</v>
      </c>
      <c r="I116" s="19" t="s">
        <v>125</v>
      </c>
      <c r="J116" s="19"/>
    </row>
    <row r="117" ht="37.5" customHeight="1">
      <c r="A117" s="31" t="s">
        <v>668</v>
      </c>
      <c r="B117" s="31" t="s">
        <v>49</v>
      </c>
      <c r="C117" s="31" t="s">
        <v>407</v>
      </c>
      <c r="D117" s="31" t="s">
        <v>669</v>
      </c>
      <c r="E117" s="31" t="s">
        <v>37</v>
      </c>
      <c r="F117" s="30">
        <v>2.0</v>
      </c>
      <c r="G117" s="30">
        <v>0.0</v>
      </c>
      <c r="H117" s="30">
        <f t="shared" si="1"/>
        <v>2</v>
      </c>
      <c r="I117" s="31" t="s">
        <v>125</v>
      </c>
      <c r="J117" s="31"/>
    </row>
    <row r="118" ht="37.5" customHeight="1">
      <c r="A118" s="19" t="s">
        <v>673</v>
      </c>
      <c r="B118" s="19" t="s">
        <v>49</v>
      </c>
      <c r="C118" s="19" t="s">
        <v>407</v>
      </c>
      <c r="D118" s="19" t="s">
        <v>674</v>
      </c>
      <c r="E118" s="19" t="s">
        <v>37</v>
      </c>
      <c r="F118" s="16">
        <v>7.0</v>
      </c>
      <c r="G118" s="16">
        <v>0.0</v>
      </c>
      <c r="H118" s="16">
        <f t="shared" si="1"/>
        <v>7</v>
      </c>
      <c r="I118" s="19" t="s">
        <v>125</v>
      </c>
      <c r="J118" s="19"/>
    </row>
    <row r="119" ht="37.5" customHeight="1">
      <c r="A119" s="31" t="s">
        <v>676</v>
      </c>
      <c r="B119" s="31" t="s">
        <v>49</v>
      </c>
      <c r="C119" s="31" t="s">
        <v>677</v>
      </c>
      <c r="D119" s="31" t="s">
        <v>678</v>
      </c>
      <c r="E119" s="31" t="s">
        <v>37</v>
      </c>
      <c r="F119" s="30">
        <v>5.0</v>
      </c>
      <c r="G119" s="30">
        <v>0.0</v>
      </c>
      <c r="H119" s="30">
        <f t="shared" si="1"/>
        <v>5</v>
      </c>
      <c r="I119" s="31" t="s">
        <v>125</v>
      </c>
      <c r="J119" s="31"/>
    </row>
    <row r="120" ht="37.5" customHeight="1">
      <c r="A120" s="19" t="s">
        <v>682</v>
      </c>
      <c r="B120" s="19" t="s">
        <v>49</v>
      </c>
      <c r="C120" s="19" t="s">
        <v>488</v>
      </c>
      <c r="D120" s="19" t="s">
        <v>684</v>
      </c>
      <c r="E120" s="19" t="s">
        <v>37</v>
      </c>
      <c r="F120" s="16">
        <v>5.0</v>
      </c>
      <c r="G120" s="16">
        <v>0.0</v>
      </c>
      <c r="H120" s="16">
        <f t="shared" si="1"/>
        <v>5</v>
      </c>
      <c r="I120" s="19" t="s">
        <v>125</v>
      </c>
      <c r="J120" s="19"/>
    </row>
    <row r="121" ht="37.5" customHeight="1">
      <c r="A121" s="31" t="s">
        <v>685</v>
      </c>
      <c r="B121" s="31" t="s">
        <v>49</v>
      </c>
      <c r="C121" s="31" t="s">
        <v>687</v>
      </c>
      <c r="D121" s="31" t="s">
        <v>688</v>
      </c>
      <c r="E121" s="31" t="s">
        <v>37</v>
      </c>
      <c r="F121" s="30">
        <v>4.0</v>
      </c>
      <c r="G121" s="30">
        <v>0.0</v>
      </c>
      <c r="H121" s="30">
        <f t="shared" si="1"/>
        <v>4</v>
      </c>
      <c r="I121" s="31" t="s">
        <v>125</v>
      </c>
      <c r="J121" s="31"/>
    </row>
    <row r="122" ht="37.5" customHeight="1">
      <c r="A122" s="19" t="s">
        <v>691</v>
      </c>
      <c r="B122" s="19" t="s">
        <v>49</v>
      </c>
      <c r="C122" s="19" t="s">
        <v>496</v>
      </c>
      <c r="D122" s="19" t="s">
        <v>693</v>
      </c>
      <c r="E122" s="19" t="s">
        <v>37</v>
      </c>
      <c r="F122" s="16">
        <v>6.0</v>
      </c>
      <c r="G122" s="16">
        <v>0.0</v>
      </c>
      <c r="H122" s="16">
        <f t="shared" si="1"/>
        <v>6</v>
      </c>
      <c r="I122" s="19" t="s">
        <v>125</v>
      </c>
      <c r="J122" s="19"/>
    </row>
    <row r="123" ht="37.5" customHeight="1">
      <c r="A123" s="31" t="s">
        <v>695</v>
      </c>
      <c r="B123" s="31" t="s">
        <v>49</v>
      </c>
      <c r="C123" s="31" t="s">
        <v>496</v>
      </c>
      <c r="D123" s="31" t="s">
        <v>697</v>
      </c>
      <c r="E123" s="31" t="s">
        <v>37</v>
      </c>
      <c r="F123" s="30">
        <v>3.0</v>
      </c>
      <c r="G123" s="30">
        <v>0.0</v>
      </c>
      <c r="H123" s="30">
        <f t="shared" si="1"/>
        <v>3</v>
      </c>
      <c r="I123" s="31" t="s">
        <v>125</v>
      </c>
      <c r="J123" s="31"/>
    </row>
    <row r="124" ht="37.5" customHeight="1">
      <c r="A124" s="19" t="s">
        <v>699</v>
      </c>
      <c r="B124" s="19" t="s">
        <v>49</v>
      </c>
      <c r="C124" s="19" t="s">
        <v>496</v>
      </c>
      <c r="D124" s="19" t="s">
        <v>701</v>
      </c>
      <c r="E124" s="19" t="s">
        <v>37</v>
      </c>
      <c r="F124" s="16">
        <v>3.0</v>
      </c>
      <c r="G124" s="16">
        <v>0.0</v>
      </c>
      <c r="H124" s="16">
        <f t="shared" si="1"/>
        <v>3</v>
      </c>
      <c r="I124" s="19" t="s">
        <v>125</v>
      </c>
      <c r="J124" s="19"/>
    </row>
    <row r="125" ht="37.5" customHeight="1">
      <c r="A125" s="31" t="s">
        <v>703</v>
      </c>
      <c r="B125" s="31" t="s">
        <v>49</v>
      </c>
      <c r="C125" s="31" t="s">
        <v>704</v>
      </c>
      <c r="D125" s="31" t="s">
        <v>706</v>
      </c>
      <c r="E125" s="31" t="s">
        <v>37</v>
      </c>
      <c r="F125" s="30">
        <v>3.0</v>
      </c>
      <c r="G125" s="30">
        <v>0.0</v>
      </c>
      <c r="H125" s="30">
        <f t="shared" si="1"/>
        <v>3</v>
      </c>
      <c r="I125" s="31" t="s">
        <v>125</v>
      </c>
      <c r="J125" s="31"/>
    </row>
    <row r="126" ht="37.5" customHeight="1">
      <c r="A126" s="19" t="s">
        <v>709</v>
      </c>
      <c r="B126" s="19" t="s">
        <v>49</v>
      </c>
      <c r="C126" s="19" t="s">
        <v>505</v>
      </c>
      <c r="D126" s="19" t="s">
        <v>710</v>
      </c>
      <c r="E126" s="19" t="s">
        <v>39</v>
      </c>
      <c r="F126" s="16">
        <v>2.0</v>
      </c>
      <c r="G126" s="16">
        <v>0.0</v>
      </c>
      <c r="H126" s="16">
        <f t="shared" si="1"/>
        <v>2</v>
      </c>
      <c r="I126" s="19" t="s">
        <v>125</v>
      </c>
      <c r="J126" s="19"/>
    </row>
    <row r="127" ht="37.5" customHeight="1">
      <c r="A127" s="31" t="s">
        <v>712</v>
      </c>
      <c r="B127" s="31" t="s">
        <v>49</v>
      </c>
      <c r="C127" s="31" t="s">
        <v>505</v>
      </c>
      <c r="D127" s="31" t="s">
        <v>713</v>
      </c>
      <c r="E127" s="31" t="s">
        <v>39</v>
      </c>
      <c r="F127" s="30">
        <v>3.0</v>
      </c>
      <c r="G127" s="30">
        <v>0.0</v>
      </c>
      <c r="H127" s="30">
        <f t="shared" si="1"/>
        <v>3</v>
      </c>
      <c r="I127" s="31" t="s">
        <v>125</v>
      </c>
      <c r="J127" s="31"/>
    </row>
    <row r="128" ht="37.5" customHeight="1">
      <c r="A128" s="19" t="s">
        <v>716</v>
      </c>
      <c r="B128" s="19" t="s">
        <v>49</v>
      </c>
      <c r="C128" s="19" t="s">
        <v>505</v>
      </c>
      <c r="D128" s="19" t="s">
        <v>717</v>
      </c>
      <c r="E128" s="19" t="s">
        <v>39</v>
      </c>
      <c r="F128" s="16">
        <v>7.0</v>
      </c>
      <c r="G128" s="16">
        <v>0.0</v>
      </c>
      <c r="H128" s="16">
        <f t="shared" si="1"/>
        <v>7</v>
      </c>
      <c r="I128" s="19" t="s">
        <v>125</v>
      </c>
      <c r="J128" s="19"/>
    </row>
    <row r="129" ht="37.5" customHeight="1">
      <c r="A129" s="31" t="s">
        <v>719</v>
      </c>
      <c r="B129" s="31" t="s">
        <v>49</v>
      </c>
      <c r="C129" s="31" t="s">
        <v>505</v>
      </c>
      <c r="D129" s="31" t="s">
        <v>720</v>
      </c>
      <c r="E129" s="31" t="s">
        <v>39</v>
      </c>
      <c r="F129" s="30">
        <v>3.0</v>
      </c>
      <c r="G129" s="30">
        <v>0.0</v>
      </c>
      <c r="H129" s="30">
        <f t="shared" si="1"/>
        <v>3</v>
      </c>
      <c r="I129" s="31" t="s">
        <v>125</v>
      </c>
      <c r="J129" s="31"/>
    </row>
    <row r="130" ht="37.5" customHeight="1">
      <c r="A130" s="19" t="s">
        <v>723</v>
      </c>
      <c r="B130" s="19" t="s">
        <v>49</v>
      </c>
      <c r="C130" s="19" t="s">
        <v>505</v>
      </c>
      <c r="D130" s="19" t="s">
        <v>724</v>
      </c>
      <c r="E130" s="19" t="s">
        <v>39</v>
      </c>
      <c r="F130" s="16">
        <v>7.0</v>
      </c>
      <c r="G130" s="16">
        <v>0.0</v>
      </c>
      <c r="H130" s="16">
        <f t="shared" si="1"/>
        <v>7</v>
      </c>
      <c r="I130" s="19" t="s">
        <v>125</v>
      </c>
      <c r="J130" s="19"/>
    </row>
    <row r="131" ht="37.5" customHeight="1">
      <c r="A131" s="31" t="s">
        <v>728</v>
      </c>
      <c r="B131" s="31" t="s">
        <v>49</v>
      </c>
      <c r="C131" s="31" t="s">
        <v>505</v>
      </c>
      <c r="D131" s="31" t="s">
        <v>730</v>
      </c>
      <c r="E131" s="31" t="s">
        <v>39</v>
      </c>
      <c r="F131" s="30">
        <v>2.0</v>
      </c>
      <c r="G131" s="30">
        <v>0.0</v>
      </c>
      <c r="H131" s="30">
        <f t="shared" si="1"/>
        <v>2</v>
      </c>
      <c r="I131" s="31" t="s">
        <v>125</v>
      </c>
      <c r="J131" s="31"/>
    </row>
    <row r="132" ht="37.5" customHeight="1">
      <c r="A132" s="19" t="s">
        <v>733</v>
      </c>
      <c r="B132" s="19" t="s">
        <v>49</v>
      </c>
      <c r="C132" s="19" t="s">
        <v>467</v>
      </c>
      <c r="D132" s="19" t="s">
        <v>736</v>
      </c>
      <c r="E132" s="19" t="s">
        <v>39</v>
      </c>
      <c r="F132" s="16">
        <v>4.0</v>
      </c>
      <c r="G132" s="16">
        <v>0.0</v>
      </c>
      <c r="H132" s="16">
        <f t="shared" si="1"/>
        <v>4</v>
      </c>
      <c r="I132" s="19" t="s">
        <v>125</v>
      </c>
      <c r="J132" s="19"/>
    </row>
    <row r="133" ht="37.5" customHeight="1">
      <c r="A133" s="31" t="s">
        <v>739</v>
      </c>
      <c r="B133" s="31" t="s">
        <v>49</v>
      </c>
      <c r="C133" s="31" t="s">
        <v>417</v>
      </c>
      <c r="D133" s="31" t="s">
        <v>741</v>
      </c>
      <c r="E133" s="31" t="s">
        <v>39</v>
      </c>
      <c r="F133" s="30">
        <v>4.0</v>
      </c>
      <c r="G133" s="30">
        <v>0.0</v>
      </c>
      <c r="H133" s="30">
        <f t="shared" si="1"/>
        <v>4</v>
      </c>
      <c r="I133" s="31" t="s">
        <v>125</v>
      </c>
      <c r="J133" s="31"/>
    </row>
    <row r="134" ht="37.5" customHeight="1">
      <c r="A134" s="19" t="s">
        <v>745</v>
      </c>
      <c r="B134" s="19" t="s">
        <v>49</v>
      </c>
      <c r="C134" s="19" t="s">
        <v>417</v>
      </c>
      <c r="D134" s="19" t="s">
        <v>748</v>
      </c>
      <c r="E134" s="19" t="s">
        <v>39</v>
      </c>
      <c r="F134" s="16">
        <v>3.0</v>
      </c>
      <c r="G134" s="16">
        <v>0.0</v>
      </c>
      <c r="H134" s="16">
        <f t="shared" si="1"/>
        <v>3</v>
      </c>
      <c r="I134" s="19" t="s">
        <v>125</v>
      </c>
      <c r="J134" s="19"/>
    </row>
    <row r="135" ht="37.5" customHeight="1">
      <c r="A135" s="31" t="s">
        <v>751</v>
      </c>
      <c r="B135" s="31" t="s">
        <v>49</v>
      </c>
      <c r="C135" s="31" t="s">
        <v>505</v>
      </c>
      <c r="D135" s="31" t="s">
        <v>753</v>
      </c>
      <c r="E135" s="31" t="s">
        <v>39</v>
      </c>
      <c r="F135" s="30">
        <v>2.0</v>
      </c>
      <c r="G135" s="30">
        <v>0.0</v>
      </c>
      <c r="H135" s="30">
        <f t="shared" si="1"/>
        <v>2</v>
      </c>
      <c r="I135" s="31" t="s">
        <v>125</v>
      </c>
      <c r="J135" s="31"/>
    </row>
    <row r="136" ht="37.5" customHeight="1">
      <c r="A136" s="19" t="s">
        <v>757</v>
      </c>
      <c r="B136" s="19" t="s">
        <v>66</v>
      </c>
      <c r="C136" s="19" t="s">
        <v>759</v>
      </c>
      <c r="D136" s="19" t="s">
        <v>760</v>
      </c>
      <c r="E136" s="19" t="s">
        <v>29</v>
      </c>
      <c r="F136" s="16">
        <v>2.0</v>
      </c>
      <c r="G136" s="16">
        <v>0.0</v>
      </c>
      <c r="H136" s="16">
        <f t="shared" si="1"/>
        <v>2</v>
      </c>
      <c r="I136" s="19" t="s">
        <v>125</v>
      </c>
      <c r="J136" s="19"/>
    </row>
    <row r="137" ht="37.5" customHeight="1">
      <c r="A137" s="31" t="s">
        <v>764</v>
      </c>
      <c r="B137" s="31" t="s">
        <v>66</v>
      </c>
      <c r="C137" s="31" t="s">
        <v>759</v>
      </c>
      <c r="D137" s="31" t="s">
        <v>765</v>
      </c>
      <c r="E137" s="31" t="s">
        <v>29</v>
      </c>
      <c r="F137" s="30">
        <v>2.0</v>
      </c>
      <c r="G137" s="30">
        <v>0.0</v>
      </c>
      <c r="H137" s="30">
        <f t="shared" si="1"/>
        <v>2</v>
      </c>
      <c r="I137" s="31" t="s">
        <v>125</v>
      </c>
      <c r="J137" s="31"/>
    </row>
    <row r="138" ht="37.5" customHeight="1">
      <c r="A138" s="19" t="s">
        <v>770</v>
      </c>
      <c r="B138" s="19" t="s">
        <v>66</v>
      </c>
      <c r="C138" s="19" t="s">
        <v>772</v>
      </c>
      <c r="D138" s="19" t="s">
        <v>773</v>
      </c>
      <c r="E138" s="19" t="s">
        <v>29</v>
      </c>
      <c r="F138" s="16">
        <v>6.0</v>
      </c>
      <c r="G138" s="16">
        <v>0.0</v>
      </c>
      <c r="H138" s="16">
        <f t="shared" si="1"/>
        <v>6</v>
      </c>
      <c r="I138" s="19" t="s">
        <v>125</v>
      </c>
      <c r="J138" s="19"/>
    </row>
    <row r="139" ht="37.5" customHeight="1">
      <c r="A139" s="31" t="s">
        <v>777</v>
      </c>
      <c r="B139" s="31" t="s">
        <v>66</v>
      </c>
      <c r="C139" s="31" t="s">
        <v>759</v>
      </c>
      <c r="D139" s="31" t="s">
        <v>779</v>
      </c>
      <c r="E139" s="31" t="s">
        <v>29</v>
      </c>
      <c r="F139" s="30">
        <v>4.0</v>
      </c>
      <c r="G139" s="30">
        <v>0.0</v>
      </c>
      <c r="H139" s="30">
        <f t="shared" si="1"/>
        <v>4</v>
      </c>
      <c r="I139" s="31" t="s">
        <v>125</v>
      </c>
      <c r="J139" s="31"/>
    </row>
    <row r="140" ht="37.5" customHeight="1">
      <c r="A140" s="19" t="s">
        <v>783</v>
      </c>
      <c r="B140" s="19" t="s">
        <v>66</v>
      </c>
      <c r="C140" s="19" t="s">
        <v>759</v>
      </c>
      <c r="D140" s="19" t="s">
        <v>785</v>
      </c>
      <c r="E140" s="19" t="s">
        <v>29</v>
      </c>
      <c r="F140" s="16">
        <v>5.0</v>
      </c>
      <c r="G140" s="16">
        <v>0.0</v>
      </c>
      <c r="H140" s="16">
        <f t="shared" si="1"/>
        <v>5</v>
      </c>
      <c r="I140" s="19" t="s">
        <v>125</v>
      </c>
      <c r="J140" s="19"/>
    </row>
    <row r="141" ht="37.5" customHeight="1">
      <c r="A141" s="31" t="s">
        <v>793</v>
      </c>
      <c r="B141" s="31" t="s">
        <v>66</v>
      </c>
      <c r="C141" s="31" t="s">
        <v>795</v>
      </c>
      <c r="D141" s="31" t="s">
        <v>796</v>
      </c>
      <c r="E141" s="31" t="s">
        <v>29</v>
      </c>
      <c r="F141" s="30">
        <v>2.0</v>
      </c>
      <c r="G141" s="30">
        <v>0.0</v>
      </c>
      <c r="H141" s="30">
        <f t="shared" si="1"/>
        <v>2</v>
      </c>
      <c r="I141" s="31" t="s">
        <v>125</v>
      </c>
      <c r="J141" s="31"/>
    </row>
    <row r="142" ht="37.5" customHeight="1">
      <c r="A142" s="19" t="s">
        <v>800</v>
      </c>
      <c r="B142" s="19" t="s">
        <v>66</v>
      </c>
      <c r="C142" s="19" t="s">
        <v>801</v>
      </c>
      <c r="D142" s="19" t="s">
        <v>803</v>
      </c>
      <c r="E142" s="19" t="s">
        <v>29</v>
      </c>
      <c r="F142" s="16">
        <v>2.0</v>
      </c>
      <c r="G142" s="16">
        <v>0.0</v>
      </c>
      <c r="H142" s="16">
        <f t="shared" si="1"/>
        <v>2</v>
      </c>
      <c r="I142" s="19" t="s">
        <v>125</v>
      </c>
      <c r="J142" s="19"/>
    </row>
    <row r="143" ht="37.5" customHeight="1">
      <c r="A143" s="31" t="s">
        <v>807</v>
      </c>
      <c r="B143" s="31" t="s">
        <v>66</v>
      </c>
      <c r="C143" s="31" t="s">
        <v>809</v>
      </c>
      <c r="D143" s="31" t="s">
        <v>810</v>
      </c>
      <c r="E143" s="31" t="s">
        <v>29</v>
      </c>
      <c r="F143" s="30">
        <v>2.0</v>
      </c>
      <c r="G143" s="30">
        <v>0.0</v>
      </c>
      <c r="H143" s="30">
        <f t="shared" si="1"/>
        <v>2</v>
      </c>
      <c r="I143" s="31" t="s">
        <v>125</v>
      </c>
      <c r="J143" s="31"/>
    </row>
    <row r="144" ht="37.5" customHeight="1">
      <c r="A144" s="19" t="s">
        <v>814</v>
      </c>
      <c r="B144" s="19" t="s">
        <v>66</v>
      </c>
      <c r="C144" s="19" t="s">
        <v>759</v>
      </c>
      <c r="D144" s="19" t="s">
        <v>815</v>
      </c>
      <c r="E144" s="19" t="s">
        <v>29</v>
      </c>
      <c r="F144" s="16">
        <v>2.0</v>
      </c>
      <c r="G144" s="16">
        <v>0.0</v>
      </c>
      <c r="H144" s="16">
        <f t="shared" si="1"/>
        <v>2</v>
      </c>
      <c r="I144" s="19" t="s">
        <v>125</v>
      </c>
      <c r="J144" s="19"/>
    </row>
    <row r="145" ht="37.5" customHeight="1">
      <c r="A145" s="31" t="s">
        <v>820</v>
      </c>
      <c r="B145" s="31" t="s">
        <v>66</v>
      </c>
      <c r="C145" s="31" t="s">
        <v>821</v>
      </c>
      <c r="D145" s="31" t="s">
        <v>822</v>
      </c>
      <c r="E145" s="31" t="s">
        <v>29</v>
      </c>
      <c r="F145" s="30">
        <v>2.0</v>
      </c>
      <c r="G145" s="30">
        <v>0.0</v>
      </c>
      <c r="H145" s="30">
        <f t="shared" si="1"/>
        <v>2</v>
      </c>
      <c r="I145" s="31" t="s">
        <v>125</v>
      </c>
      <c r="J145" s="31"/>
    </row>
    <row r="146" ht="37.5" customHeight="1">
      <c r="A146" s="19" t="s">
        <v>827</v>
      </c>
      <c r="B146" s="19" t="s">
        <v>66</v>
      </c>
      <c r="C146" s="19" t="s">
        <v>828</v>
      </c>
      <c r="D146" s="19" t="s">
        <v>829</v>
      </c>
      <c r="E146" s="19" t="s">
        <v>29</v>
      </c>
      <c r="F146" s="16">
        <v>2.0</v>
      </c>
      <c r="G146" s="16">
        <v>0.0</v>
      </c>
      <c r="H146" s="16">
        <f t="shared" si="1"/>
        <v>2</v>
      </c>
      <c r="I146" s="19" t="s">
        <v>125</v>
      </c>
      <c r="J146" s="19"/>
    </row>
    <row r="147" ht="37.5" customHeight="1">
      <c r="A147" s="31" t="s">
        <v>834</v>
      </c>
      <c r="B147" s="31" t="s">
        <v>66</v>
      </c>
      <c r="C147" s="31" t="s">
        <v>835</v>
      </c>
      <c r="D147" s="31" t="s">
        <v>836</v>
      </c>
      <c r="E147" s="31" t="s">
        <v>25</v>
      </c>
      <c r="F147" s="30">
        <v>5.0</v>
      </c>
      <c r="G147" s="30">
        <v>0.0</v>
      </c>
      <c r="H147" s="30">
        <f t="shared" si="1"/>
        <v>5</v>
      </c>
      <c r="I147" s="31" t="s">
        <v>125</v>
      </c>
      <c r="J147" s="31"/>
    </row>
    <row r="148" ht="37.5" customHeight="1">
      <c r="A148" s="19" t="s">
        <v>841</v>
      </c>
      <c r="B148" s="19" t="s">
        <v>66</v>
      </c>
      <c r="C148" s="19" t="s">
        <v>740</v>
      </c>
      <c r="D148" s="19" t="s">
        <v>842</v>
      </c>
      <c r="E148" s="19" t="s">
        <v>25</v>
      </c>
      <c r="F148" s="16">
        <v>3.0</v>
      </c>
      <c r="G148" s="16">
        <v>0.0</v>
      </c>
      <c r="H148" s="16">
        <f t="shared" si="1"/>
        <v>3</v>
      </c>
      <c r="I148" s="19" t="s">
        <v>125</v>
      </c>
      <c r="J148" s="19"/>
    </row>
    <row r="149" ht="37.5" customHeight="1">
      <c r="A149" s="31" t="s">
        <v>847</v>
      </c>
      <c r="B149" s="31" t="s">
        <v>66</v>
      </c>
      <c r="C149" s="31" t="s">
        <v>849</v>
      </c>
      <c r="D149" s="31" t="s">
        <v>850</v>
      </c>
      <c r="E149" s="31" t="s">
        <v>25</v>
      </c>
      <c r="F149" s="30">
        <v>3.0</v>
      </c>
      <c r="G149" s="30">
        <v>0.0</v>
      </c>
      <c r="H149" s="30">
        <f t="shared" si="1"/>
        <v>3</v>
      </c>
      <c r="I149" s="31" t="s">
        <v>125</v>
      </c>
      <c r="J149" s="31"/>
    </row>
    <row r="150" ht="37.5" customHeight="1">
      <c r="A150" s="19" t="s">
        <v>854</v>
      </c>
      <c r="B150" s="19" t="s">
        <v>66</v>
      </c>
      <c r="C150" s="19" t="s">
        <v>856</v>
      </c>
      <c r="D150" s="19" t="s">
        <v>857</v>
      </c>
      <c r="E150" s="19" t="s">
        <v>25</v>
      </c>
      <c r="F150" s="16">
        <v>4.0</v>
      </c>
      <c r="G150" s="16">
        <v>0.0</v>
      </c>
      <c r="H150" s="16">
        <f t="shared" si="1"/>
        <v>4</v>
      </c>
      <c r="I150" s="19" t="s">
        <v>125</v>
      </c>
      <c r="J150" s="19"/>
    </row>
    <row r="151" ht="37.5" customHeight="1">
      <c r="A151" s="31" t="s">
        <v>860</v>
      </c>
      <c r="B151" s="31" t="s">
        <v>66</v>
      </c>
      <c r="C151" s="31" t="s">
        <v>862</v>
      </c>
      <c r="D151" s="31" t="s">
        <v>864</v>
      </c>
      <c r="E151" s="31" t="s">
        <v>25</v>
      </c>
      <c r="F151" s="30">
        <v>4.0</v>
      </c>
      <c r="G151" s="30">
        <v>0.0</v>
      </c>
      <c r="H151" s="30">
        <f t="shared" si="1"/>
        <v>4</v>
      </c>
      <c r="I151" s="31" t="s">
        <v>125</v>
      </c>
      <c r="J151" s="31"/>
    </row>
    <row r="152" ht="37.5" customHeight="1">
      <c r="A152" s="19" t="s">
        <v>866</v>
      </c>
      <c r="B152" s="19" t="s">
        <v>66</v>
      </c>
      <c r="C152" s="19" t="s">
        <v>868</v>
      </c>
      <c r="D152" s="19" t="s">
        <v>869</v>
      </c>
      <c r="E152" s="19" t="s">
        <v>25</v>
      </c>
      <c r="F152" s="16">
        <v>6.0</v>
      </c>
      <c r="G152" s="16">
        <v>0.0</v>
      </c>
      <c r="H152" s="16">
        <f t="shared" si="1"/>
        <v>6</v>
      </c>
      <c r="I152" s="19" t="s">
        <v>125</v>
      </c>
      <c r="J152" s="19"/>
    </row>
    <row r="153" ht="37.5" customHeight="1">
      <c r="A153" s="31" t="s">
        <v>872</v>
      </c>
      <c r="B153" s="31" t="s">
        <v>66</v>
      </c>
      <c r="C153" s="31" t="s">
        <v>874</v>
      </c>
      <c r="D153" s="31" t="s">
        <v>876</v>
      </c>
      <c r="E153" s="31" t="s">
        <v>25</v>
      </c>
      <c r="F153" s="30">
        <v>4.0</v>
      </c>
      <c r="G153" s="30">
        <v>0.0</v>
      </c>
      <c r="H153" s="30">
        <f t="shared" si="1"/>
        <v>4</v>
      </c>
      <c r="I153" s="31" t="s">
        <v>125</v>
      </c>
      <c r="J153" s="31"/>
    </row>
    <row r="154" ht="37.5" customHeight="1">
      <c r="A154" s="19" t="s">
        <v>879</v>
      </c>
      <c r="B154" s="19" t="s">
        <v>66</v>
      </c>
      <c r="C154" s="19" t="s">
        <v>795</v>
      </c>
      <c r="D154" s="19" t="s">
        <v>881</v>
      </c>
      <c r="E154" s="19" t="s">
        <v>25</v>
      </c>
      <c r="F154" s="16">
        <v>6.0</v>
      </c>
      <c r="G154" s="16">
        <v>0.0</v>
      </c>
      <c r="H154" s="16">
        <f t="shared" si="1"/>
        <v>6</v>
      </c>
      <c r="I154" s="19" t="s">
        <v>125</v>
      </c>
      <c r="J154" s="19"/>
    </row>
    <row r="155" ht="37.5" customHeight="1">
      <c r="A155" s="31" t="s">
        <v>885</v>
      </c>
      <c r="B155" s="31" t="s">
        <v>66</v>
      </c>
      <c r="C155" s="31" t="s">
        <v>795</v>
      </c>
      <c r="D155" s="31" t="s">
        <v>886</v>
      </c>
      <c r="E155" s="31" t="s">
        <v>25</v>
      </c>
      <c r="F155" s="30">
        <v>1.0</v>
      </c>
      <c r="G155" s="30">
        <v>0.0</v>
      </c>
      <c r="H155" s="30">
        <f t="shared" si="1"/>
        <v>1</v>
      </c>
      <c r="I155" s="31" t="s">
        <v>125</v>
      </c>
      <c r="J155" s="31"/>
    </row>
    <row r="156" ht="37.5" customHeight="1">
      <c r="A156" s="19" t="s">
        <v>891</v>
      </c>
      <c r="B156" s="19" t="s">
        <v>66</v>
      </c>
      <c r="C156" s="19" t="s">
        <v>892</v>
      </c>
      <c r="D156" s="19" t="s">
        <v>893</v>
      </c>
      <c r="E156" s="19" t="s">
        <v>31</v>
      </c>
      <c r="F156" s="16">
        <v>5.0</v>
      </c>
      <c r="G156" s="16">
        <v>0.0</v>
      </c>
      <c r="H156" s="16">
        <f t="shared" si="1"/>
        <v>5</v>
      </c>
      <c r="I156" s="19" t="s">
        <v>125</v>
      </c>
      <c r="J156" s="19"/>
    </row>
    <row r="157" ht="37.5" customHeight="1">
      <c r="A157" s="31" t="s">
        <v>897</v>
      </c>
      <c r="B157" s="31" t="s">
        <v>66</v>
      </c>
      <c r="C157" s="31" t="s">
        <v>899</v>
      </c>
      <c r="D157" s="31" t="s">
        <v>900</v>
      </c>
      <c r="E157" s="31" t="s">
        <v>31</v>
      </c>
      <c r="F157" s="30">
        <v>6.0</v>
      </c>
      <c r="G157" s="30">
        <v>0.0</v>
      </c>
      <c r="H157" s="30">
        <f t="shared" si="1"/>
        <v>6</v>
      </c>
      <c r="I157" s="31" t="s">
        <v>125</v>
      </c>
      <c r="J157" s="31"/>
    </row>
    <row r="158" ht="37.5" customHeight="1">
      <c r="A158" s="19" t="s">
        <v>903</v>
      </c>
      <c r="B158" s="19" t="s">
        <v>66</v>
      </c>
      <c r="C158" s="19" t="s">
        <v>905</v>
      </c>
      <c r="D158" s="19" t="s">
        <v>907</v>
      </c>
      <c r="E158" s="19" t="s">
        <v>31</v>
      </c>
      <c r="F158" s="16">
        <v>6.0</v>
      </c>
      <c r="G158" s="16">
        <v>0.0</v>
      </c>
      <c r="H158" s="16">
        <f t="shared" si="1"/>
        <v>6</v>
      </c>
      <c r="I158" s="19" t="s">
        <v>125</v>
      </c>
      <c r="J158" s="19"/>
    </row>
    <row r="159" ht="37.5" customHeight="1">
      <c r="A159" s="31" t="s">
        <v>910</v>
      </c>
      <c r="B159" s="31" t="s">
        <v>66</v>
      </c>
      <c r="C159" s="31" t="s">
        <v>911</v>
      </c>
      <c r="D159" s="31" t="s">
        <v>913</v>
      </c>
      <c r="E159" s="31" t="s">
        <v>31</v>
      </c>
      <c r="F159" s="30">
        <v>3.0</v>
      </c>
      <c r="G159" s="30">
        <v>0.0</v>
      </c>
      <c r="H159" s="30">
        <f t="shared" si="1"/>
        <v>3</v>
      </c>
      <c r="I159" s="31" t="s">
        <v>125</v>
      </c>
      <c r="J159" s="31"/>
    </row>
    <row r="160" ht="37.5" customHeight="1">
      <c r="A160" s="19" t="s">
        <v>915</v>
      </c>
      <c r="B160" s="19" t="s">
        <v>66</v>
      </c>
      <c r="C160" s="19" t="s">
        <v>790</v>
      </c>
      <c r="D160" s="19" t="s">
        <v>918</v>
      </c>
      <c r="E160" s="19" t="s">
        <v>31</v>
      </c>
      <c r="F160" s="16">
        <v>5.0</v>
      </c>
      <c r="G160" s="16">
        <v>0.0</v>
      </c>
      <c r="H160" s="16">
        <f t="shared" si="1"/>
        <v>5</v>
      </c>
      <c r="I160" s="19" t="s">
        <v>125</v>
      </c>
      <c r="J160" s="19"/>
    </row>
    <row r="161" ht="37.5" customHeight="1">
      <c r="A161" s="31" t="s">
        <v>921</v>
      </c>
      <c r="B161" s="31" t="s">
        <v>66</v>
      </c>
      <c r="C161" s="31" t="s">
        <v>922</v>
      </c>
      <c r="D161" s="31" t="s">
        <v>923</v>
      </c>
      <c r="E161" s="31" t="s">
        <v>31</v>
      </c>
      <c r="F161" s="30">
        <v>4.0</v>
      </c>
      <c r="G161" s="30">
        <v>0.0</v>
      </c>
      <c r="H161" s="30">
        <f t="shared" si="1"/>
        <v>4</v>
      </c>
      <c r="I161" s="31" t="s">
        <v>125</v>
      </c>
      <c r="J161" s="31"/>
    </row>
    <row r="162" ht="37.5" customHeight="1">
      <c r="A162" s="19" t="s">
        <v>928</v>
      </c>
      <c r="B162" s="19" t="s">
        <v>66</v>
      </c>
      <c r="C162" s="19" t="s">
        <v>811</v>
      </c>
      <c r="D162" s="19" t="s">
        <v>929</v>
      </c>
      <c r="E162" s="19" t="s">
        <v>31</v>
      </c>
      <c r="F162" s="16">
        <v>4.0</v>
      </c>
      <c r="G162" s="16">
        <v>0.0</v>
      </c>
      <c r="H162" s="16">
        <f t="shared" si="1"/>
        <v>4</v>
      </c>
      <c r="I162" s="19" t="s">
        <v>125</v>
      </c>
      <c r="J162" s="19"/>
    </row>
    <row r="163" ht="37.5" customHeight="1">
      <c r="A163" s="31" t="s">
        <v>934</v>
      </c>
      <c r="B163" s="31" t="s">
        <v>66</v>
      </c>
      <c r="C163" s="31" t="s">
        <v>931</v>
      </c>
      <c r="D163" s="31" t="s">
        <v>935</v>
      </c>
      <c r="E163" s="31" t="s">
        <v>31</v>
      </c>
      <c r="F163" s="30">
        <v>3.0</v>
      </c>
      <c r="G163" s="30">
        <v>0.0</v>
      </c>
      <c r="H163" s="30">
        <f t="shared" si="1"/>
        <v>3</v>
      </c>
      <c r="I163" s="31" t="s">
        <v>125</v>
      </c>
      <c r="J163" s="31"/>
    </row>
    <row r="164" ht="37.5" customHeight="1">
      <c r="A164" s="19" t="s">
        <v>940</v>
      </c>
      <c r="B164" s="19" t="s">
        <v>66</v>
      </c>
      <c r="C164" s="19" t="s">
        <v>801</v>
      </c>
      <c r="D164" s="19" t="s">
        <v>941</v>
      </c>
      <c r="E164" s="19" t="s">
        <v>31</v>
      </c>
      <c r="F164" s="16">
        <v>1.0</v>
      </c>
      <c r="G164" s="16">
        <v>0.0</v>
      </c>
      <c r="H164" s="16">
        <f t="shared" si="1"/>
        <v>1</v>
      </c>
      <c r="I164" s="19" t="s">
        <v>125</v>
      </c>
      <c r="J164" s="19"/>
    </row>
    <row r="165" ht="37.5" customHeight="1">
      <c r="A165" s="31" t="s">
        <v>945</v>
      </c>
      <c r="B165" s="31" t="s">
        <v>66</v>
      </c>
      <c r="C165" s="31" t="s">
        <v>809</v>
      </c>
      <c r="D165" s="31" t="s">
        <v>947</v>
      </c>
      <c r="E165" s="31" t="s">
        <v>33</v>
      </c>
      <c r="F165" s="30">
        <v>2.0</v>
      </c>
      <c r="G165" s="30">
        <v>0.0</v>
      </c>
      <c r="H165" s="30">
        <f t="shared" si="1"/>
        <v>2</v>
      </c>
      <c r="I165" s="31" t="s">
        <v>125</v>
      </c>
      <c r="J165" s="31"/>
    </row>
    <row r="166" ht="37.5" customHeight="1">
      <c r="A166" s="19" t="s">
        <v>951</v>
      </c>
      <c r="B166" s="19" t="s">
        <v>66</v>
      </c>
      <c r="C166" s="19" t="s">
        <v>809</v>
      </c>
      <c r="D166" s="19" t="s">
        <v>953</v>
      </c>
      <c r="E166" s="19" t="s">
        <v>33</v>
      </c>
      <c r="F166" s="16">
        <v>3.0</v>
      </c>
      <c r="G166" s="16">
        <v>0.0</v>
      </c>
      <c r="H166" s="16">
        <f t="shared" si="1"/>
        <v>3</v>
      </c>
      <c r="I166" s="19" t="s">
        <v>125</v>
      </c>
      <c r="J166" s="19"/>
    </row>
    <row r="167" ht="37.5" customHeight="1">
      <c r="A167" s="31" t="s">
        <v>957</v>
      </c>
      <c r="B167" s="31" t="s">
        <v>66</v>
      </c>
      <c r="C167" s="31" t="s">
        <v>809</v>
      </c>
      <c r="D167" s="31" t="s">
        <v>959</v>
      </c>
      <c r="E167" s="31" t="s">
        <v>33</v>
      </c>
      <c r="F167" s="30">
        <v>6.0</v>
      </c>
      <c r="G167" s="30">
        <v>0.0</v>
      </c>
      <c r="H167" s="30">
        <f t="shared" si="1"/>
        <v>6</v>
      </c>
      <c r="I167" s="31" t="s">
        <v>125</v>
      </c>
      <c r="J167" s="31"/>
    </row>
    <row r="168" ht="37.5" customHeight="1">
      <c r="A168" s="19" t="s">
        <v>962</v>
      </c>
      <c r="B168" s="19" t="s">
        <v>66</v>
      </c>
      <c r="C168" s="19" t="s">
        <v>809</v>
      </c>
      <c r="D168" s="19" t="s">
        <v>965</v>
      </c>
      <c r="E168" s="19" t="s">
        <v>33</v>
      </c>
      <c r="F168" s="16">
        <v>7.0</v>
      </c>
      <c r="G168" s="16">
        <v>0.0</v>
      </c>
      <c r="H168" s="16">
        <f t="shared" si="1"/>
        <v>7</v>
      </c>
      <c r="I168" s="19" t="s">
        <v>125</v>
      </c>
      <c r="J168" s="19"/>
    </row>
    <row r="169" ht="37.5" customHeight="1">
      <c r="A169" s="31" t="s">
        <v>967</v>
      </c>
      <c r="B169" s="31" t="s">
        <v>66</v>
      </c>
      <c r="C169" s="31" t="s">
        <v>809</v>
      </c>
      <c r="D169" s="31" t="s">
        <v>969</v>
      </c>
      <c r="E169" s="31" t="s">
        <v>33</v>
      </c>
      <c r="F169" s="30">
        <v>7.0</v>
      </c>
      <c r="G169" s="30">
        <v>0.0</v>
      </c>
      <c r="H169" s="30">
        <f t="shared" si="1"/>
        <v>7</v>
      </c>
      <c r="I169" s="31" t="s">
        <v>125</v>
      </c>
      <c r="J169" s="31"/>
    </row>
    <row r="170" ht="37.5" customHeight="1">
      <c r="A170" s="19" t="s">
        <v>971</v>
      </c>
      <c r="B170" s="19" t="s">
        <v>66</v>
      </c>
      <c r="C170" s="19" t="s">
        <v>973</v>
      </c>
      <c r="D170" s="19" t="s">
        <v>975</v>
      </c>
      <c r="E170" s="19" t="s">
        <v>33</v>
      </c>
      <c r="F170" s="16">
        <v>8.0</v>
      </c>
      <c r="G170" s="16">
        <v>0.0</v>
      </c>
      <c r="H170" s="16">
        <f t="shared" si="1"/>
        <v>8</v>
      </c>
      <c r="I170" s="19" t="s">
        <v>125</v>
      </c>
      <c r="J170" s="19"/>
    </row>
    <row r="171" ht="37.5" customHeight="1">
      <c r="A171" s="31" t="s">
        <v>978</v>
      </c>
      <c r="B171" s="31" t="s">
        <v>66</v>
      </c>
      <c r="C171" s="31" t="s">
        <v>809</v>
      </c>
      <c r="D171" s="31" t="s">
        <v>980</v>
      </c>
      <c r="E171" s="31" t="s">
        <v>33</v>
      </c>
      <c r="F171" s="30">
        <v>2.0</v>
      </c>
      <c r="G171" s="30">
        <v>0.0</v>
      </c>
      <c r="H171" s="30">
        <f t="shared" si="1"/>
        <v>2</v>
      </c>
      <c r="I171" s="31" t="s">
        <v>125</v>
      </c>
      <c r="J171" s="31"/>
    </row>
    <row r="172" ht="37.5" customHeight="1">
      <c r="A172" s="19" t="s">
        <v>984</v>
      </c>
      <c r="B172" s="19" t="s">
        <v>66</v>
      </c>
      <c r="C172" s="19" t="s">
        <v>985</v>
      </c>
      <c r="D172" s="19" t="s">
        <v>986</v>
      </c>
      <c r="E172" s="19" t="s">
        <v>35</v>
      </c>
      <c r="F172" s="16">
        <v>6.0</v>
      </c>
      <c r="G172" s="16">
        <v>0.0</v>
      </c>
      <c r="H172" s="16">
        <f t="shared" si="1"/>
        <v>6</v>
      </c>
      <c r="I172" s="19" t="s">
        <v>125</v>
      </c>
      <c r="J172" s="19"/>
    </row>
    <row r="173" ht="37.5" customHeight="1">
      <c r="A173" s="31" t="s">
        <v>991</v>
      </c>
      <c r="B173" s="31" t="s">
        <v>66</v>
      </c>
      <c r="C173" s="31" t="s">
        <v>992</v>
      </c>
      <c r="D173" s="31" t="s">
        <v>993</v>
      </c>
      <c r="E173" s="31" t="s">
        <v>35</v>
      </c>
      <c r="F173" s="30">
        <v>5.0</v>
      </c>
      <c r="G173" s="30">
        <v>0.0</v>
      </c>
      <c r="H173" s="30">
        <f t="shared" si="1"/>
        <v>5</v>
      </c>
      <c r="I173" s="31" t="s">
        <v>125</v>
      </c>
      <c r="J173" s="31"/>
    </row>
    <row r="174" ht="37.5" customHeight="1">
      <c r="A174" s="19" t="s">
        <v>997</v>
      </c>
      <c r="B174" s="19" t="s">
        <v>66</v>
      </c>
      <c r="C174" s="19" t="s">
        <v>999</v>
      </c>
      <c r="D174" s="19" t="s">
        <v>1000</v>
      </c>
      <c r="E174" s="19" t="s">
        <v>35</v>
      </c>
      <c r="F174" s="16">
        <v>4.0</v>
      </c>
      <c r="G174" s="16">
        <v>0.0</v>
      </c>
      <c r="H174" s="16">
        <f t="shared" si="1"/>
        <v>4</v>
      </c>
      <c r="I174" s="19" t="s">
        <v>125</v>
      </c>
      <c r="J174" s="19"/>
    </row>
    <row r="175" ht="37.5" customHeight="1">
      <c r="A175" s="31" t="s">
        <v>1004</v>
      </c>
      <c r="B175" s="31" t="s">
        <v>66</v>
      </c>
      <c r="C175" s="31" t="s">
        <v>1006</v>
      </c>
      <c r="D175" s="31" t="s">
        <v>1007</v>
      </c>
      <c r="E175" s="31" t="s">
        <v>35</v>
      </c>
      <c r="F175" s="30">
        <v>7.0</v>
      </c>
      <c r="G175" s="30">
        <v>0.0</v>
      </c>
      <c r="H175" s="30">
        <f t="shared" si="1"/>
        <v>7</v>
      </c>
      <c r="I175" s="31" t="s">
        <v>125</v>
      </c>
      <c r="J175" s="31"/>
    </row>
    <row r="176" ht="37.5" customHeight="1">
      <c r="A176" s="19" t="s">
        <v>1011</v>
      </c>
      <c r="B176" s="19" t="s">
        <v>66</v>
      </c>
      <c r="C176" s="19" t="s">
        <v>759</v>
      </c>
      <c r="D176" s="19" t="s">
        <v>1013</v>
      </c>
      <c r="E176" s="19" t="s">
        <v>35</v>
      </c>
      <c r="F176" s="16">
        <v>4.0</v>
      </c>
      <c r="G176" s="16">
        <v>0.0</v>
      </c>
      <c r="H176" s="16">
        <f t="shared" si="1"/>
        <v>4</v>
      </c>
      <c r="I176" s="19" t="s">
        <v>125</v>
      </c>
      <c r="J176" s="19"/>
    </row>
    <row r="177" ht="37.5" customHeight="1">
      <c r="A177" s="31" t="s">
        <v>1016</v>
      </c>
      <c r="B177" s="31" t="s">
        <v>66</v>
      </c>
      <c r="C177" s="31" t="s">
        <v>759</v>
      </c>
      <c r="D177" s="31" t="s">
        <v>1018</v>
      </c>
      <c r="E177" s="31" t="s">
        <v>35</v>
      </c>
      <c r="F177" s="30">
        <v>5.0</v>
      </c>
      <c r="G177" s="30">
        <v>0.0</v>
      </c>
      <c r="H177" s="30">
        <f t="shared" si="1"/>
        <v>5</v>
      </c>
      <c r="I177" s="31" t="s">
        <v>125</v>
      </c>
      <c r="J177" s="31"/>
    </row>
    <row r="178" ht="37.5" customHeight="1">
      <c r="A178" s="19" t="s">
        <v>1021</v>
      </c>
      <c r="B178" s="19" t="s">
        <v>66</v>
      </c>
      <c r="C178" s="19" t="s">
        <v>759</v>
      </c>
      <c r="D178" s="19" t="s">
        <v>1023</v>
      </c>
      <c r="E178" s="19" t="s">
        <v>35</v>
      </c>
      <c r="F178" s="16">
        <v>6.0</v>
      </c>
      <c r="G178" s="16">
        <v>0.0</v>
      </c>
      <c r="H178" s="16">
        <f t="shared" si="1"/>
        <v>6</v>
      </c>
      <c r="I178" s="19" t="s">
        <v>125</v>
      </c>
      <c r="J178" s="19"/>
    </row>
    <row r="179" ht="37.5" customHeight="1">
      <c r="A179" s="31" t="s">
        <v>1026</v>
      </c>
      <c r="B179" s="31" t="s">
        <v>66</v>
      </c>
      <c r="C179" s="31" t="s">
        <v>704</v>
      </c>
      <c r="D179" s="31" t="s">
        <v>1028</v>
      </c>
      <c r="E179" s="31" t="s">
        <v>37</v>
      </c>
      <c r="F179" s="30">
        <v>2.0</v>
      </c>
      <c r="G179" s="30">
        <v>0.0</v>
      </c>
      <c r="H179" s="30">
        <f t="shared" si="1"/>
        <v>2</v>
      </c>
      <c r="I179" s="31" t="s">
        <v>125</v>
      </c>
      <c r="J179" s="31"/>
    </row>
    <row r="180" ht="37.5" customHeight="1">
      <c r="A180" s="19" t="s">
        <v>1031</v>
      </c>
      <c r="B180" s="19" t="s">
        <v>66</v>
      </c>
      <c r="C180" s="19" t="s">
        <v>704</v>
      </c>
      <c r="D180" s="19" t="s">
        <v>1034</v>
      </c>
      <c r="E180" s="19" t="s">
        <v>37</v>
      </c>
      <c r="F180" s="16">
        <v>7.0</v>
      </c>
      <c r="G180" s="16">
        <v>0.0</v>
      </c>
      <c r="H180" s="16">
        <f t="shared" si="1"/>
        <v>7</v>
      </c>
      <c r="I180" s="19" t="s">
        <v>125</v>
      </c>
      <c r="J180" s="19"/>
    </row>
    <row r="181" ht="37.5" customHeight="1">
      <c r="A181" s="31" t="s">
        <v>1037</v>
      </c>
      <c r="B181" s="31" t="s">
        <v>66</v>
      </c>
      <c r="C181" s="31" t="s">
        <v>704</v>
      </c>
      <c r="D181" s="31" t="s">
        <v>1038</v>
      </c>
      <c r="E181" s="31" t="s">
        <v>37</v>
      </c>
      <c r="F181" s="30">
        <v>5.0</v>
      </c>
      <c r="G181" s="30">
        <v>0.0</v>
      </c>
      <c r="H181" s="30">
        <f t="shared" si="1"/>
        <v>5</v>
      </c>
      <c r="I181" s="31" t="s">
        <v>125</v>
      </c>
      <c r="J181" s="31"/>
    </row>
    <row r="182" ht="37.5" customHeight="1">
      <c r="A182" s="19" t="s">
        <v>1043</v>
      </c>
      <c r="B182" s="19" t="s">
        <v>66</v>
      </c>
      <c r="C182" s="19" t="s">
        <v>704</v>
      </c>
      <c r="D182" s="19" t="s">
        <v>1045</v>
      </c>
      <c r="E182" s="19" t="s">
        <v>37</v>
      </c>
      <c r="F182" s="16">
        <v>5.0</v>
      </c>
      <c r="G182" s="16">
        <v>0.0</v>
      </c>
      <c r="H182" s="16">
        <f t="shared" si="1"/>
        <v>5</v>
      </c>
      <c r="I182" s="19" t="s">
        <v>125</v>
      </c>
      <c r="J182" s="19"/>
    </row>
    <row r="183" ht="37.5" customHeight="1">
      <c r="A183" s="31" t="s">
        <v>1049</v>
      </c>
      <c r="B183" s="31" t="s">
        <v>66</v>
      </c>
      <c r="C183" s="31" t="s">
        <v>821</v>
      </c>
      <c r="D183" s="31" t="s">
        <v>1051</v>
      </c>
      <c r="E183" s="31" t="s">
        <v>37</v>
      </c>
      <c r="F183" s="30">
        <v>6.0</v>
      </c>
      <c r="G183" s="30">
        <v>0.0</v>
      </c>
      <c r="H183" s="30">
        <f t="shared" si="1"/>
        <v>6</v>
      </c>
      <c r="I183" s="31" t="s">
        <v>125</v>
      </c>
      <c r="J183" s="31"/>
    </row>
    <row r="184" ht="37.5" customHeight="1">
      <c r="A184" s="19" t="s">
        <v>1055</v>
      </c>
      <c r="B184" s="19" t="s">
        <v>66</v>
      </c>
      <c r="C184" s="19" t="s">
        <v>704</v>
      </c>
      <c r="D184" s="19" t="s">
        <v>1056</v>
      </c>
      <c r="E184" s="19" t="s">
        <v>37</v>
      </c>
      <c r="F184" s="16">
        <v>7.0</v>
      </c>
      <c r="G184" s="16">
        <v>0.0</v>
      </c>
      <c r="H184" s="16">
        <f t="shared" si="1"/>
        <v>7</v>
      </c>
      <c r="I184" s="19" t="s">
        <v>125</v>
      </c>
      <c r="J184" s="19"/>
    </row>
    <row r="185" ht="37.5" customHeight="1">
      <c r="A185" s="31" t="s">
        <v>1060</v>
      </c>
      <c r="B185" s="31" t="s">
        <v>66</v>
      </c>
      <c r="C185" s="31" t="s">
        <v>1061</v>
      </c>
      <c r="D185" s="31" t="s">
        <v>1063</v>
      </c>
      <c r="E185" s="31" t="s">
        <v>37</v>
      </c>
      <c r="F185" s="30">
        <v>4.0</v>
      </c>
      <c r="G185" s="30">
        <v>0.0</v>
      </c>
      <c r="H185" s="30">
        <f t="shared" si="1"/>
        <v>4</v>
      </c>
      <c r="I185" s="31" t="s">
        <v>125</v>
      </c>
      <c r="J185" s="31"/>
    </row>
    <row r="186" ht="37.5" customHeight="1">
      <c r="A186" s="19" t="s">
        <v>1065</v>
      </c>
      <c r="B186" s="19" t="s">
        <v>66</v>
      </c>
      <c r="C186" s="19" t="s">
        <v>821</v>
      </c>
      <c r="D186" s="19" t="s">
        <v>1067</v>
      </c>
      <c r="E186" s="19" t="s">
        <v>37</v>
      </c>
      <c r="F186" s="16">
        <v>2.0</v>
      </c>
      <c r="G186" s="16">
        <v>0.0</v>
      </c>
      <c r="H186" s="16">
        <f t="shared" si="1"/>
        <v>2</v>
      </c>
      <c r="I186" s="19" t="s">
        <v>125</v>
      </c>
      <c r="J186" s="19"/>
    </row>
    <row r="187" ht="37.5" customHeight="1">
      <c r="A187" s="31" t="s">
        <v>1070</v>
      </c>
      <c r="B187" s="31" t="s">
        <v>66</v>
      </c>
      <c r="C187" s="31" t="s">
        <v>828</v>
      </c>
      <c r="D187" s="31" t="s">
        <v>1072</v>
      </c>
      <c r="E187" s="31" t="s">
        <v>39</v>
      </c>
      <c r="F187" s="30">
        <v>2.0</v>
      </c>
      <c r="G187" s="30">
        <v>0.0</v>
      </c>
      <c r="H187" s="30">
        <f t="shared" si="1"/>
        <v>2</v>
      </c>
      <c r="I187" s="31" t="s">
        <v>125</v>
      </c>
      <c r="J187" s="31"/>
    </row>
    <row r="188" ht="37.5" customHeight="1">
      <c r="A188" s="19" t="s">
        <v>1075</v>
      </c>
      <c r="B188" s="19" t="s">
        <v>66</v>
      </c>
      <c r="C188" s="19" t="s">
        <v>1077</v>
      </c>
      <c r="D188" s="19" t="s">
        <v>1078</v>
      </c>
      <c r="E188" s="19" t="s">
        <v>39</v>
      </c>
      <c r="F188" s="16">
        <v>5.0</v>
      </c>
      <c r="G188" s="16">
        <v>0.0</v>
      </c>
      <c r="H188" s="16">
        <f t="shared" si="1"/>
        <v>5</v>
      </c>
      <c r="I188" s="19" t="s">
        <v>125</v>
      </c>
      <c r="J188" s="19"/>
    </row>
    <row r="189" ht="37.5" customHeight="1">
      <c r="A189" s="31" t="s">
        <v>1082</v>
      </c>
      <c r="B189" s="31" t="s">
        <v>66</v>
      </c>
      <c r="C189" s="31" t="s">
        <v>1077</v>
      </c>
      <c r="D189" s="31" t="s">
        <v>1083</v>
      </c>
      <c r="E189" s="31" t="s">
        <v>39</v>
      </c>
      <c r="F189" s="30">
        <v>5.0</v>
      </c>
      <c r="G189" s="30">
        <v>0.0</v>
      </c>
      <c r="H189" s="30">
        <f t="shared" si="1"/>
        <v>5</v>
      </c>
      <c r="I189" s="31" t="s">
        <v>125</v>
      </c>
      <c r="J189" s="31"/>
    </row>
    <row r="190" ht="37.5" customHeight="1">
      <c r="A190" s="19" t="s">
        <v>1088</v>
      </c>
      <c r="B190" s="19" t="s">
        <v>66</v>
      </c>
      <c r="C190" s="19" t="s">
        <v>1077</v>
      </c>
      <c r="D190" s="19" t="s">
        <v>1089</v>
      </c>
      <c r="E190" s="19" t="s">
        <v>39</v>
      </c>
      <c r="F190" s="16">
        <v>3.0</v>
      </c>
      <c r="G190" s="16">
        <v>0.0</v>
      </c>
      <c r="H190" s="16">
        <f t="shared" si="1"/>
        <v>3</v>
      </c>
      <c r="I190" s="19" t="s">
        <v>125</v>
      </c>
      <c r="J190" s="19"/>
    </row>
    <row r="191" ht="37.5" customHeight="1">
      <c r="A191" s="31" t="s">
        <v>1093</v>
      </c>
      <c r="B191" s="31" t="s">
        <v>66</v>
      </c>
      <c r="C191" s="31" t="s">
        <v>925</v>
      </c>
      <c r="D191" s="31" t="s">
        <v>1095</v>
      </c>
      <c r="E191" s="31" t="s">
        <v>39</v>
      </c>
      <c r="F191" s="30">
        <v>4.0</v>
      </c>
      <c r="G191" s="30">
        <v>0.0</v>
      </c>
      <c r="H191" s="30">
        <f t="shared" si="1"/>
        <v>4</v>
      </c>
      <c r="I191" s="31" t="s">
        <v>125</v>
      </c>
      <c r="J191" s="31"/>
    </row>
    <row r="192" ht="37.5" customHeight="1">
      <c r="A192" s="19" t="s">
        <v>1098</v>
      </c>
      <c r="B192" s="19" t="s">
        <v>66</v>
      </c>
      <c r="C192" s="19" t="s">
        <v>1100</v>
      </c>
      <c r="D192" s="19" t="s">
        <v>1102</v>
      </c>
      <c r="E192" s="19" t="s">
        <v>39</v>
      </c>
      <c r="F192" s="16">
        <v>7.0</v>
      </c>
      <c r="G192" s="16">
        <v>0.0</v>
      </c>
      <c r="H192" s="16">
        <f t="shared" si="1"/>
        <v>7</v>
      </c>
      <c r="I192" s="19" t="s">
        <v>125</v>
      </c>
      <c r="J192" s="19"/>
    </row>
    <row r="193" ht="37.5" customHeight="1">
      <c r="A193" s="31" t="s">
        <v>1104</v>
      </c>
      <c r="B193" s="31" t="s">
        <v>66</v>
      </c>
      <c r="C193" s="31" t="s">
        <v>974</v>
      </c>
      <c r="D193" s="31" t="s">
        <v>1107</v>
      </c>
      <c r="E193" s="31" t="s">
        <v>39</v>
      </c>
      <c r="F193" s="30">
        <v>4.0</v>
      </c>
      <c r="G193" s="30">
        <v>0.0</v>
      </c>
      <c r="H193" s="30">
        <f t="shared" si="1"/>
        <v>4</v>
      </c>
      <c r="I193" s="31" t="s">
        <v>125</v>
      </c>
      <c r="J193" s="31"/>
    </row>
    <row r="194" ht="37.5" customHeight="1">
      <c r="A194" s="19" t="s">
        <v>1110</v>
      </c>
      <c r="B194" s="19" t="s">
        <v>66</v>
      </c>
      <c r="C194" s="19" t="s">
        <v>828</v>
      </c>
      <c r="D194" s="19" t="s">
        <v>1112</v>
      </c>
      <c r="E194" s="19" t="s">
        <v>39</v>
      </c>
      <c r="F194" s="16">
        <v>6.0</v>
      </c>
      <c r="G194" s="16">
        <v>0.0</v>
      </c>
      <c r="H194" s="16">
        <f t="shared" si="1"/>
        <v>6</v>
      </c>
      <c r="I194" s="19" t="s">
        <v>125</v>
      </c>
      <c r="J194" s="19"/>
    </row>
    <row r="195" ht="37.5" customHeight="1">
      <c r="A195" s="31" t="s">
        <v>1114</v>
      </c>
      <c r="B195" s="31" t="s">
        <v>66</v>
      </c>
      <c r="C195" s="31" t="s">
        <v>828</v>
      </c>
      <c r="D195" s="31" t="s">
        <v>1115</v>
      </c>
      <c r="E195" s="31" t="s">
        <v>39</v>
      </c>
      <c r="F195" s="30">
        <v>1.0</v>
      </c>
      <c r="G195" s="30">
        <v>0.0</v>
      </c>
      <c r="H195" s="30">
        <f t="shared" si="1"/>
        <v>1</v>
      </c>
      <c r="I195" s="31" t="s">
        <v>125</v>
      </c>
      <c r="J195" s="31"/>
    </row>
    <row r="196" ht="13.5" customHeight="1">
      <c r="F196" s="52"/>
    </row>
    <row r="197" ht="13.5" customHeight="1">
      <c r="F197" s="52"/>
    </row>
    <row r="198" ht="13.5" customHeight="1">
      <c r="F198" s="52"/>
    </row>
    <row r="199" ht="13.5" customHeight="1">
      <c r="F199" s="52"/>
    </row>
    <row r="200" ht="13.5" customHeight="1">
      <c r="F200" s="52"/>
    </row>
    <row r="201" ht="13.5" customHeight="1">
      <c r="F201" s="52"/>
    </row>
    <row r="202" ht="13.5" customHeight="1">
      <c r="F202" s="52"/>
    </row>
    <row r="203" ht="13.5" customHeight="1">
      <c r="F203" s="52"/>
    </row>
    <row r="204" ht="13.5" customHeight="1">
      <c r="F204" s="52"/>
    </row>
    <row r="205" ht="13.5" customHeight="1">
      <c r="F205" s="52"/>
    </row>
    <row r="206" ht="13.5" customHeight="1">
      <c r="F206" s="52"/>
    </row>
    <row r="207" ht="13.5" customHeight="1">
      <c r="F207" s="52"/>
    </row>
    <row r="208" ht="13.5" customHeight="1">
      <c r="F208" s="52"/>
    </row>
    <row r="209" ht="13.5" customHeight="1">
      <c r="F209" s="52"/>
    </row>
    <row r="210" ht="13.5" customHeight="1">
      <c r="F210" s="52"/>
    </row>
    <row r="211" ht="13.5" customHeight="1">
      <c r="F211" s="52"/>
    </row>
    <row r="212" ht="13.5" customHeight="1">
      <c r="F212" s="52"/>
    </row>
    <row r="213" ht="13.5" customHeight="1">
      <c r="F213" s="52"/>
    </row>
    <row r="214" ht="13.5" customHeight="1">
      <c r="F214" s="52"/>
    </row>
    <row r="215" ht="13.5" customHeight="1">
      <c r="F215" s="52"/>
    </row>
    <row r="216" ht="13.5" customHeight="1">
      <c r="F216" s="52"/>
    </row>
    <row r="217" ht="13.5" customHeight="1">
      <c r="F217" s="52"/>
    </row>
    <row r="218" ht="13.5" customHeight="1">
      <c r="F218" s="52"/>
    </row>
    <row r="219" ht="13.5" customHeight="1">
      <c r="F219" s="52"/>
    </row>
    <row r="220" ht="13.5" customHeight="1">
      <c r="F220" s="52"/>
    </row>
    <row r="221" ht="13.5" customHeight="1">
      <c r="F221" s="52"/>
    </row>
    <row r="222" ht="13.5" customHeight="1">
      <c r="F222" s="52"/>
    </row>
    <row r="223" ht="13.5" customHeight="1">
      <c r="F223" s="52"/>
    </row>
    <row r="224" ht="13.5" customHeight="1">
      <c r="F224" s="52"/>
    </row>
    <row r="225" ht="13.5" customHeight="1">
      <c r="F225" s="52"/>
    </row>
    <row r="226" ht="13.5" customHeight="1">
      <c r="F226" s="52"/>
    </row>
    <row r="227" ht="13.5" customHeight="1">
      <c r="F227" s="52"/>
    </row>
    <row r="228" ht="13.5" customHeight="1">
      <c r="F228" s="52"/>
    </row>
    <row r="229" ht="13.5" customHeight="1">
      <c r="F229" s="52"/>
    </row>
    <row r="230" ht="13.5" customHeight="1">
      <c r="F230" s="52"/>
    </row>
    <row r="231" ht="13.5" customHeight="1">
      <c r="F231" s="52"/>
    </row>
    <row r="232" ht="13.5" customHeight="1">
      <c r="F232" s="52"/>
    </row>
    <row r="233" ht="13.5" customHeight="1">
      <c r="F233" s="52"/>
    </row>
    <row r="234" ht="13.5" customHeight="1">
      <c r="F234" s="52"/>
    </row>
    <row r="235" ht="13.5" customHeight="1">
      <c r="F235" s="52"/>
    </row>
    <row r="236" ht="13.5" customHeight="1">
      <c r="F236" s="52"/>
    </row>
    <row r="237" ht="13.5" customHeight="1">
      <c r="F237" s="52"/>
    </row>
    <row r="238" ht="13.5" customHeight="1">
      <c r="F238" s="52"/>
    </row>
    <row r="239" ht="13.5" customHeight="1">
      <c r="F239" s="52"/>
    </row>
    <row r="240" ht="13.5" customHeight="1">
      <c r="F240" s="52"/>
    </row>
    <row r="241" ht="13.5" customHeight="1">
      <c r="F241" s="52"/>
    </row>
    <row r="242" ht="13.5" customHeight="1">
      <c r="F242" s="52"/>
    </row>
    <row r="243" ht="13.5" customHeight="1">
      <c r="F243" s="52"/>
    </row>
    <row r="244" ht="13.5" customHeight="1">
      <c r="F244" s="52"/>
    </row>
    <row r="245" ht="13.5" customHeight="1">
      <c r="F245" s="52"/>
    </row>
    <row r="246" ht="13.5" customHeight="1">
      <c r="F246" s="52"/>
    </row>
    <row r="247" ht="13.5" customHeight="1">
      <c r="F247" s="52"/>
    </row>
    <row r="248" ht="13.5" customHeight="1">
      <c r="F248" s="52"/>
    </row>
    <row r="249" ht="13.5" customHeight="1">
      <c r="F249" s="52"/>
    </row>
    <row r="250" ht="13.5" customHeight="1">
      <c r="F250" s="52"/>
    </row>
    <row r="251" ht="13.5" customHeight="1">
      <c r="F251" s="52"/>
    </row>
    <row r="252" ht="13.5" customHeight="1">
      <c r="F252" s="52"/>
    </row>
    <row r="253" ht="13.5" customHeight="1">
      <c r="F253" s="52"/>
    </row>
    <row r="254" ht="13.5" customHeight="1">
      <c r="F254" s="52"/>
    </row>
    <row r="255" ht="13.5" customHeight="1">
      <c r="F255" s="52"/>
    </row>
    <row r="256" ht="13.5" customHeight="1">
      <c r="F256" s="52"/>
    </row>
    <row r="257" ht="13.5" customHeight="1">
      <c r="F257" s="52"/>
    </row>
    <row r="258" ht="13.5" customHeight="1">
      <c r="F258" s="52"/>
    </row>
    <row r="259" ht="13.5" customHeight="1">
      <c r="F259" s="52"/>
    </row>
    <row r="260" ht="13.5" customHeight="1">
      <c r="F260" s="52"/>
    </row>
    <row r="261" ht="13.5" customHeight="1">
      <c r="F261" s="52"/>
    </row>
    <row r="262" ht="13.5" customHeight="1">
      <c r="F262" s="52"/>
    </row>
    <row r="263" ht="13.5" customHeight="1">
      <c r="F263" s="52"/>
    </row>
    <row r="264" ht="13.5" customHeight="1">
      <c r="F264" s="52"/>
    </row>
    <row r="265" ht="13.5" customHeight="1">
      <c r="F265" s="52"/>
    </row>
    <row r="266" ht="13.5" customHeight="1">
      <c r="F266" s="52"/>
    </row>
    <row r="267" ht="13.5" customHeight="1">
      <c r="F267" s="52"/>
    </row>
    <row r="268" ht="13.5" customHeight="1">
      <c r="F268" s="52"/>
    </row>
    <row r="269" ht="13.5" customHeight="1">
      <c r="F269" s="52"/>
    </row>
    <row r="270" ht="13.5" customHeight="1">
      <c r="F270" s="52"/>
    </row>
    <row r="271" ht="13.5" customHeight="1">
      <c r="F271" s="52"/>
    </row>
    <row r="272" ht="13.5" customHeight="1">
      <c r="F272" s="52"/>
    </row>
    <row r="273" ht="13.5" customHeight="1">
      <c r="F273" s="52"/>
    </row>
    <row r="274" ht="13.5" customHeight="1">
      <c r="F274" s="52"/>
    </row>
    <row r="275" ht="13.5" customHeight="1">
      <c r="F275" s="52"/>
    </row>
    <row r="276" ht="13.5" customHeight="1">
      <c r="F276" s="52"/>
    </row>
    <row r="277" ht="13.5" customHeight="1">
      <c r="F277" s="52"/>
    </row>
    <row r="278" ht="13.5" customHeight="1">
      <c r="F278" s="52"/>
    </row>
    <row r="279" ht="13.5" customHeight="1">
      <c r="F279" s="52"/>
    </row>
    <row r="280" ht="13.5" customHeight="1">
      <c r="F280" s="52"/>
    </row>
    <row r="281" ht="13.5" customHeight="1">
      <c r="F281" s="52"/>
    </row>
    <row r="282" ht="13.5" customHeight="1">
      <c r="F282" s="52"/>
    </row>
    <row r="283" ht="13.5" customHeight="1">
      <c r="F283" s="52"/>
    </row>
    <row r="284" ht="13.5" customHeight="1">
      <c r="F284" s="52"/>
    </row>
    <row r="285" ht="13.5" customHeight="1">
      <c r="F285" s="52"/>
    </row>
    <row r="286" ht="13.5" customHeight="1">
      <c r="F286" s="52"/>
    </row>
    <row r="287" ht="13.5" customHeight="1">
      <c r="F287" s="52"/>
    </row>
    <row r="288" ht="13.5" customHeight="1">
      <c r="F288" s="52"/>
    </row>
    <row r="289" ht="13.5" customHeight="1">
      <c r="F289" s="52"/>
    </row>
    <row r="290" ht="13.5" customHeight="1">
      <c r="F290" s="52"/>
    </row>
    <row r="291" ht="13.5" customHeight="1">
      <c r="F291" s="52"/>
    </row>
    <row r="292" ht="13.5" customHeight="1">
      <c r="F292" s="52"/>
    </row>
    <row r="293" ht="13.5" customHeight="1">
      <c r="F293" s="52"/>
    </row>
    <row r="294" ht="13.5" customHeight="1">
      <c r="F294" s="52"/>
    </row>
    <row r="295" ht="13.5" customHeight="1">
      <c r="F295" s="52"/>
    </row>
    <row r="296" ht="13.5" customHeight="1">
      <c r="F296" s="52"/>
    </row>
    <row r="297" ht="13.5" customHeight="1">
      <c r="F297" s="52"/>
    </row>
    <row r="298" ht="13.5" customHeight="1">
      <c r="F298" s="52"/>
    </row>
    <row r="299" ht="13.5" customHeight="1">
      <c r="F299" s="52"/>
    </row>
    <row r="300" ht="13.5" customHeight="1">
      <c r="F300" s="52"/>
    </row>
    <row r="301" ht="13.5" customHeight="1">
      <c r="F301" s="52"/>
    </row>
    <row r="302" ht="13.5" customHeight="1">
      <c r="F302" s="52"/>
    </row>
    <row r="303" ht="13.5" customHeight="1">
      <c r="F303" s="52"/>
    </row>
    <row r="304" ht="13.5" customHeight="1">
      <c r="F304" s="52"/>
    </row>
    <row r="305" ht="13.5" customHeight="1">
      <c r="F305" s="52"/>
    </row>
    <row r="306" ht="13.5" customHeight="1">
      <c r="F306" s="52"/>
    </row>
    <row r="307" ht="13.5" customHeight="1">
      <c r="F307" s="52"/>
    </row>
    <row r="308" ht="13.5" customHeight="1">
      <c r="F308" s="52"/>
    </row>
    <row r="309" ht="13.5" customHeight="1">
      <c r="F309" s="52"/>
    </row>
    <row r="310" ht="13.5" customHeight="1">
      <c r="F310" s="52"/>
    </row>
    <row r="311" ht="13.5" customHeight="1">
      <c r="F311" s="52"/>
    </row>
    <row r="312" ht="13.5" customHeight="1">
      <c r="F312" s="52"/>
    </row>
    <row r="313" ht="13.5" customHeight="1">
      <c r="F313" s="52"/>
    </row>
    <row r="314" ht="13.5" customHeight="1">
      <c r="F314" s="52"/>
    </row>
    <row r="315" ht="13.5" customHeight="1">
      <c r="F315" s="52"/>
    </row>
    <row r="316" ht="13.5" customHeight="1">
      <c r="F316" s="52"/>
    </row>
    <row r="317" ht="13.5" customHeight="1">
      <c r="F317" s="52"/>
    </row>
    <row r="318" ht="13.5" customHeight="1">
      <c r="F318" s="52"/>
    </row>
    <row r="319" ht="13.5" customHeight="1">
      <c r="F319" s="52"/>
    </row>
    <row r="320" ht="13.5" customHeight="1">
      <c r="F320" s="52"/>
    </row>
    <row r="321" ht="13.5" customHeight="1">
      <c r="F321" s="52"/>
    </row>
    <row r="322" ht="13.5" customHeight="1">
      <c r="F322" s="52"/>
    </row>
    <row r="323" ht="13.5" customHeight="1">
      <c r="F323" s="52"/>
    </row>
    <row r="324" ht="13.5" customHeight="1">
      <c r="F324" s="52"/>
    </row>
    <row r="325" ht="13.5" customHeight="1">
      <c r="F325" s="52"/>
    </row>
    <row r="326" ht="13.5" customHeight="1">
      <c r="F326" s="52"/>
    </row>
    <row r="327" ht="13.5" customHeight="1">
      <c r="F327" s="52"/>
    </row>
    <row r="328" ht="13.5" customHeight="1">
      <c r="F328" s="52"/>
    </row>
    <row r="329" ht="13.5" customHeight="1">
      <c r="F329" s="52"/>
    </row>
    <row r="330" ht="13.5" customHeight="1">
      <c r="F330" s="52"/>
    </row>
    <row r="331" ht="13.5" customHeight="1">
      <c r="F331" s="52"/>
    </row>
    <row r="332" ht="13.5" customHeight="1">
      <c r="F332" s="52"/>
    </row>
    <row r="333" ht="13.5" customHeight="1">
      <c r="F333" s="52"/>
    </row>
    <row r="334" ht="13.5" customHeight="1">
      <c r="F334" s="52"/>
    </row>
    <row r="335" ht="13.5" customHeight="1">
      <c r="F335" s="52"/>
    </row>
    <row r="336" ht="13.5" customHeight="1">
      <c r="F336" s="52"/>
    </row>
    <row r="337" ht="13.5" customHeight="1">
      <c r="F337" s="52"/>
    </row>
    <row r="338" ht="13.5" customHeight="1">
      <c r="F338" s="52"/>
    </row>
    <row r="339" ht="13.5" customHeight="1">
      <c r="F339" s="52"/>
    </row>
    <row r="340" ht="13.5" customHeight="1">
      <c r="F340" s="52"/>
    </row>
    <row r="341" ht="13.5" customHeight="1">
      <c r="F341" s="52"/>
    </row>
    <row r="342" ht="13.5" customHeight="1">
      <c r="F342" s="52"/>
    </row>
    <row r="343" ht="13.5" customHeight="1">
      <c r="F343" s="52"/>
    </row>
    <row r="344" ht="13.5" customHeight="1">
      <c r="F344" s="52"/>
    </row>
    <row r="345" ht="13.5" customHeight="1">
      <c r="F345" s="52"/>
    </row>
    <row r="346" ht="13.5" customHeight="1">
      <c r="F346" s="52"/>
    </row>
    <row r="347" ht="13.5" customHeight="1">
      <c r="F347" s="52"/>
    </row>
    <row r="348" ht="13.5" customHeight="1">
      <c r="F348" s="52"/>
    </row>
    <row r="349" ht="13.5" customHeight="1">
      <c r="F349" s="52"/>
    </row>
    <row r="350" ht="13.5" customHeight="1">
      <c r="F350" s="52"/>
    </row>
    <row r="351" ht="13.5" customHeight="1">
      <c r="F351" s="52"/>
    </row>
    <row r="352" ht="13.5" customHeight="1">
      <c r="F352" s="52"/>
    </row>
    <row r="353" ht="13.5" customHeight="1">
      <c r="F353" s="52"/>
    </row>
    <row r="354" ht="13.5" customHeight="1">
      <c r="F354" s="52"/>
    </row>
    <row r="355" ht="13.5" customHeight="1">
      <c r="F355" s="52"/>
    </row>
    <row r="356" ht="13.5" customHeight="1">
      <c r="F356" s="52"/>
    </row>
    <row r="357" ht="13.5" customHeight="1">
      <c r="F357" s="52"/>
    </row>
    <row r="358" ht="13.5" customHeight="1">
      <c r="F358" s="52"/>
    </row>
    <row r="359" ht="13.5" customHeight="1">
      <c r="F359" s="52"/>
    </row>
    <row r="360" ht="13.5" customHeight="1">
      <c r="F360" s="52"/>
    </row>
    <row r="361" ht="13.5" customHeight="1">
      <c r="F361" s="52"/>
    </row>
    <row r="362" ht="13.5" customHeight="1">
      <c r="F362" s="52"/>
    </row>
    <row r="363" ht="13.5" customHeight="1">
      <c r="F363" s="52"/>
    </row>
    <row r="364" ht="13.5" customHeight="1">
      <c r="F364" s="52"/>
    </row>
    <row r="365" ht="13.5" customHeight="1">
      <c r="F365" s="52"/>
    </row>
    <row r="366" ht="13.5" customHeight="1">
      <c r="F366" s="52"/>
    </row>
    <row r="367" ht="13.5" customHeight="1">
      <c r="F367" s="52"/>
    </row>
    <row r="368" ht="13.5" customHeight="1">
      <c r="F368" s="52"/>
    </row>
    <row r="369" ht="13.5" customHeight="1">
      <c r="F369" s="52"/>
    </row>
    <row r="370" ht="13.5" customHeight="1">
      <c r="F370" s="52"/>
    </row>
    <row r="371" ht="13.5" customHeight="1">
      <c r="F371" s="52"/>
    </row>
    <row r="372" ht="13.5" customHeight="1">
      <c r="F372" s="52"/>
    </row>
    <row r="373" ht="13.5" customHeight="1">
      <c r="F373" s="52"/>
    </row>
    <row r="374" ht="13.5" customHeight="1">
      <c r="F374" s="52"/>
    </row>
    <row r="375" ht="13.5" customHeight="1">
      <c r="F375" s="52"/>
    </row>
    <row r="376" ht="13.5" customHeight="1">
      <c r="F376" s="52"/>
    </row>
    <row r="377" ht="13.5" customHeight="1">
      <c r="F377" s="52"/>
    </row>
    <row r="378" ht="13.5" customHeight="1">
      <c r="F378" s="52"/>
    </row>
    <row r="379" ht="13.5" customHeight="1">
      <c r="F379" s="52"/>
    </row>
    <row r="380" ht="13.5" customHeight="1">
      <c r="F380" s="52"/>
    </row>
    <row r="381" ht="13.5" customHeight="1">
      <c r="F381" s="52"/>
    </row>
    <row r="382" ht="13.5" customHeight="1">
      <c r="F382" s="52"/>
    </row>
    <row r="383" ht="13.5" customHeight="1">
      <c r="F383" s="52"/>
    </row>
    <row r="384" ht="13.5" customHeight="1">
      <c r="F384" s="52"/>
    </row>
    <row r="385" ht="13.5" customHeight="1">
      <c r="F385" s="52"/>
    </row>
    <row r="386" ht="13.5" customHeight="1">
      <c r="F386" s="52"/>
    </row>
    <row r="387" ht="13.5" customHeight="1">
      <c r="F387" s="52"/>
    </row>
    <row r="388" ht="13.5" customHeight="1">
      <c r="F388" s="52"/>
    </row>
    <row r="389" ht="13.5" customHeight="1">
      <c r="F389" s="52"/>
    </row>
    <row r="390" ht="13.5" customHeight="1">
      <c r="F390" s="52"/>
    </row>
    <row r="391" ht="13.5" customHeight="1">
      <c r="F391" s="52"/>
    </row>
    <row r="392" ht="13.5" customHeight="1">
      <c r="F392" s="52"/>
    </row>
    <row r="393" ht="13.5" customHeight="1">
      <c r="F393" s="52"/>
    </row>
    <row r="394" ht="13.5" customHeight="1">
      <c r="F394" s="52"/>
    </row>
    <row r="395" ht="13.5" customHeight="1">
      <c r="F395" s="52"/>
    </row>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J2"/>
    <mergeCell ref="A3:J3"/>
  </mergeCells>
  <dataValidations>
    <dataValidation type="list" allowBlank="1" sqref="I6:I195">
      <formula1>"Chưa bắt đầu,Đang làm,Chờ xử lý,Hoàn tất"</formula1>
    </dataValidation>
  </dataValidations>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21.5"/>
    <col customWidth="1" min="3" max="3" width="23.0"/>
    <col customWidth="1" min="4" max="4" width="35.0"/>
    <col customWidth="1" min="5" max="5" width="21.38"/>
    <col customWidth="1" min="6" max="6" width="27.13"/>
    <col customWidth="1" min="7" max="7" width="35.88"/>
  </cols>
  <sheetData>
    <row r="1" ht="40.5" customHeight="1">
      <c r="A1" s="1" t="s">
        <v>1</v>
      </c>
      <c r="B1" s="1" t="s">
        <v>2</v>
      </c>
      <c r="C1" s="1" t="s">
        <v>3</v>
      </c>
      <c r="D1" s="1" t="s">
        <v>4</v>
      </c>
      <c r="E1" s="1" t="s">
        <v>5</v>
      </c>
      <c r="F1" s="1" t="s">
        <v>6</v>
      </c>
      <c r="G1" s="1" t="s">
        <v>7</v>
      </c>
    </row>
    <row r="2" ht="13.5" customHeight="1">
      <c r="A2" s="13">
        <v>5.0</v>
      </c>
      <c r="B2" s="14" t="s">
        <v>11</v>
      </c>
      <c r="C2" s="14" t="s">
        <v>18</v>
      </c>
      <c r="D2" s="17" t="s">
        <v>21</v>
      </c>
      <c r="E2" s="18" t="s">
        <v>25</v>
      </c>
      <c r="F2" s="20">
        <v>1.0</v>
      </c>
      <c r="G2" s="21"/>
    </row>
    <row r="3" ht="13.5" customHeight="1">
      <c r="A3" s="22"/>
      <c r="B3" s="22"/>
      <c r="C3" s="22"/>
      <c r="D3" s="23" t="s">
        <v>28</v>
      </c>
      <c r="E3" s="18" t="s">
        <v>29</v>
      </c>
      <c r="F3" s="20">
        <v>1.0</v>
      </c>
      <c r="G3" s="21"/>
    </row>
    <row r="4" ht="13.5" customHeight="1">
      <c r="A4" s="22"/>
      <c r="B4" s="22"/>
      <c r="C4" s="22"/>
      <c r="D4" s="23" t="s">
        <v>30</v>
      </c>
      <c r="E4" s="18" t="s">
        <v>31</v>
      </c>
      <c r="F4" s="20">
        <v>1.0</v>
      </c>
      <c r="G4" s="21"/>
    </row>
    <row r="5" ht="13.5" customHeight="1">
      <c r="A5" s="22"/>
      <c r="B5" s="22"/>
      <c r="C5" s="22"/>
      <c r="D5" s="23" t="s">
        <v>32</v>
      </c>
      <c r="E5" s="18" t="s">
        <v>33</v>
      </c>
      <c r="F5" s="20">
        <v>1.0</v>
      </c>
      <c r="G5" s="21"/>
    </row>
    <row r="6" ht="13.5" customHeight="1">
      <c r="A6" s="22"/>
      <c r="B6" s="22"/>
      <c r="C6" s="22"/>
      <c r="D6" s="23" t="s">
        <v>34</v>
      </c>
      <c r="E6" s="18" t="s">
        <v>35</v>
      </c>
      <c r="F6" s="20">
        <v>1.0</v>
      </c>
      <c r="G6" s="21"/>
    </row>
    <row r="7" ht="13.5" customHeight="1">
      <c r="A7" s="22"/>
      <c r="B7" s="22"/>
      <c r="C7" s="22"/>
      <c r="D7" s="23" t="s">
        <v>36</v>
      </c>
      <c r="E7" s="18" t="s">
        <v>37</v>
      </c>
      <c r="F7" s="20">
        <v>1.0</v>
      </c>
      <c r="G7" s="21"/>
    </row>
    <row r="8" ht="13.5" customHeight="1">
      <c r="A8" s="22"/>
      <c r="B8" s="24"/>
      <c r="C8" s="24"/>
      <c r="D8" s="23" t="s">
        <v>38</v>
      </c>
      <c r="E8" s="18" t="s">
        <v>39</v>
      </c>
      <c r="F8" s="20">
        <v>1.0</v>
      </c>
      <c r="G8" s="21"/>
    </row>
    <row r="9" ht="13.5" customHeight="1">
      <c r="A9" s="22"/>
      <c r="B9" s="25" t="s">
        <v>40</v>
      </c>
      <c r="C9" s="25" t="s">
        <v>41</v>
      </c>
      <c r="D9" s="26" t="s">
        <v>42</v>
      </c>
      <c r="E9" s="27" t="s">
        <v>25</v>
      </c>
      <c r="F9" s="28"/>
      <c r="G9" s="28"/>
    </row>
    <row r="10" ht="13.5" customHeight="1">
      <c r="A10" s="22"/>
      <c r="B10" s="22"/>
      <c r="C10" s="22"/>
      <c r="D10" s="26" t="s">
        <v>44</v>
      </c>
      <c r="E10" s="27" t="s">
        <v>35</v>
      </c>
      <c r="F10" s="28"/>
      <c r="G10" s="28"/>
    </row>
    <row r="11" ht="13.5" customHeight="1">
      <c r="A11" s="22"/>
      <c r="B11" s="22"/>
      <c r="C11" s="22"/>
      <c r="D11" s="26" t="s">
        <v>45</v>
      </c>
      <c r="E11" s="27" t="s">
        <v>39</v>
      </c>
      <c r="F11" s="28"/>
      <c r="G11" s="28"/>
    </row>
    <row r="12" ht="13.5" customHeight="1">
      <c r="A12" s="22"/>
      <c r="B12" s="22"/>
      <c r="C12" s="22"/>
      <c r="D12" s="26" t="s">
        <v>46</v>
      </c>
      <c r="E12" s="27" t="s">
        <v>31</v>
      </c>
      <c r="F12" s="28"/>
      <c r="G12" s="25" t="s">
        <v>48</v>
      </c>
    </row>
    <row r="13" ht="13.5" customHeight="1">
      <c r="A13" s="22"/>
      <c r="B13" s="22"/>
      <c r="C13" s="22"/>
      <c r="D13" s="26" t="s">
        <v>53</v>
      </c>
      <c r="E13" s="27" t="s">
        <v>37</v>
      </c>
      <c r="F13" s="28"/>
      <c r="G13" s="24"/>
    </row>
    <row r="14" ht="13.5" customHeight="1">
      <c r="A14" s="22"/>
      <c r="B14" s="22"/>
      <c r="C14" s="22"/>
      <c r="D14" s="26" t="s">
        <v>56</v>
      </c>
      <c r="E14" s="27" t="s">
        <v>29</v>
      </c>
      <c r="F14" s="28"/>
      <c r="G14" s="28"/>
    </row>
    <row r="15" ht="13.5" customHeight="1">
      <c r="A15" s="22"/>
      <c r="B15" s="24"/>
      <c r="C15" s="24"/>
      <c r="D15" s="26" t="s">
        <v>58</v>
      </c>
      <c r="E15" s="27" t="s">
        <v>33</v>
      </c>
      <c r="F15" s="28"/>
      <c r="G15" s="28"/>
    </row>
    <row r="16" ht="13.5" customHeight="1">
      <c r="A16" s="22"/>
      <c r="B16" s="35" t="s">
        <v>60</v>
      </c>
      <c r="C16" s="36" t="s">
        <v>62</v>
      </c>
      <c r="D16" s="23" t="s">
        <v>63</v>
      </c>
      <c r="E16" s="23" t="s">
        <v>29</v>
      </c>
      <c r="F16" s="21"/>
      <c r="G16" s="21"/>
    </row>
    <row r="17" ht="13.5" customHeight="1">
      <c r="A17" s="22"/>
      <c r="B17" s="22"/>
      <c r="C17" s="36" t="s">
        <v>64</v>
      </c>
      <c r="D17" s="23" t="s">
        <v>65</v>
      </c>
      <c r="E17" s="23" t="s">
        <v>37</v>
      </c>
      <c r="F17" s="21"/>
      <c r="G17" s="21"/>
    </row>
    <row r="18" ht="13.5" customHeight="1">
      <c r="A18" s="22"/>
      <c r="B18" s="24"/>
      <c r="C18" s="38" t="s">
        <v>69</v>
      </c>
      <c r="D18" s="39" t="s">
        <v>74</v>
      </c>
      <c r="E18" s="23" t="s">
        <v>33</v>
      </c>
      <c r="F18" s="21"/>
      <c r="G18" s="21"/>
    </row>
    <row r="19" ht="13.5" customHeight="1">
      <c r="A19" s="24"/>
      <c r="B19" s="38" t="s">
        <v>76</v>
      </c>
      <c r="C19" s="38" t="s">
        <v>77</v>
      </c>
      <c r="D19" s="23" t="s">
        <v>63</v>
      </c>
      <c r="E19" s="23" t="s">
        <v>29</v>
      </c>
      <c r="F19" s="21"/>
      <c r="G19" s="21"/>
    </row>
    <row r="20" ht="13.5" customHeight="1">
      <c r="E20" s="34"/>
      <c r="F20" s="34"/>
      <c r="G20" s="34"/>
    </row>
    <row r="21" ht="13.5" customHeight="1">
      <c r="E21" s="34"/>
      <c r="F21" s="34"/>
      <c r="G21" s="34"/>
    </row>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2:A19"/>
    <mergeCell ref="B2:B8"/>
    <mergeCell ref="C2:C8"/>
    <mergeCell ref="B9:B15"/>
    <mergeCell ref="C9:C15"/>
    <mergeCell ref="G12:G13"/>
    <mergeCell ref="B16:B18"/>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2026-10-27T06:15:17Z</dcterms:created>
  <dc:creator>openpyxl</dc:creator>
</cp:coreProperties>
</file>